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COM460\24MONTH\2026\01 - JAN26\QAQC_SupportingDocs\"/>
    </mc:Choice>
  </mc:AlternateContent>
  <xr:revisionPtr revIDLastSave="0" documentId="13_ncr:1_{A83FEBA9-1318-44D2-AD73-336AD1A9C706}" xr6:coauthVersionLast="47" xr6:coauthVersionMax="47" xr10:uidLastSave="{00000000-0000-0000-0000-000000000000}"/>
  <bookViews>
    <workbookView xWindow="20544" yWindow="0" windowWidth="20832" windowHeight="16656" tabRatio="810" activeTab="4" xr2:uid="{5728D596-1F66-46AA-95D1-D62637A5657E}"/>
  </bookViews>
  <sheets>
    <sheet name="2026" sheetId="36" r:id="rId1"/>
    <sheet name="2027" sheetId="37" r:id="rId2"/>
    <sheet name="System Conservation" sheetId="34" r:id="rId3"/>
    <sheet name="SysCon SummaryTable" sheetId="35" r:id="rId4"/>
    <sheet name="DCP Bank" sheetId="22" r:id="rId5"/>
    <sheet name="500+ Plan Tracking" sheetId="27" r:id="rId6"/>
    <sheet name="Reductions for MSCP" sheetId="26" r:id="rId7"/>
    <sheet name="Effective Elevations" sheetId="30" r:id="rId8"/>
    <sheet name="ICS Creation" sheetId="24" r:id="rId9"/>
    <sheet name="OLD 2023" sheetId="25" r:id="rId10"/>
    <sheet name="OLD 2024" sheetId="29" r:id="rId11"/>
    <sheet name="2025" sheetId="31" r:id="rId12"/>
    <sheet name="2019 (Old News)" sheetId="10" state="hidden" r:id="rId13"/>
    <sheet name="2016" sheetId="7" state="hidden" r:id="rId14"/>
    <sheet name="2017" sheetId="17" state="hidden" r:id="rId15"/>
  </sheets>
  <definedNames>
    <definedName name="_xlnm.Print_Area" localSheetId="13">'2016'!#REF!</definedName>
    <definedName name="_xlnm.Print_Area" localSheetId="14">'2017'!#REF!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5" i="36" l="1"/>
  <c r="L18" i="36"/>
  <c r="G8" i="37"/>
  <c r="G1" i="37"/>
  <c r="B52" i="36" l="1"/>
  <c r="B18" i="36"/>
  <c r="B15" i="36"/>
  <c r="G55" i="36" l="1"/>
  <c r="G8" i="36"/>
  <c r="G1" i="36"/>
  <c r="B55" i="36" l="1"/>
  <c r="B1" i="36" l="1"/>
  <c r="H93" i="35" l="1"/>
  <c r="F93" i="35"/>
  <c r="F94" i="35"/>
  <c r="D1" i="37"/>
  <c r="B8" i="31"/>
  <c r="G2" i="36" l="1"/>
  <c r="I24" i="31"/>
  <c r="G30" i="31"/>
  <c r="G8" i="31"/>
  <c r="D21" i="37"/>
  <c r="G30" i="34"/>
  <c r="G55" i="37"/>
  <c r="G94" i="35" l="1"/>
  <c r="L1" i="36"/>
  <c r="G2" i="37" l="1"/>
  <c r="G1" i="31"/>
  <c r="B55" i="37" l="1"/>
  <c r="B1" i="37"/>
  <c r="B1" i="31" l="1"/>
  <c r="B42" i="37"/>
  <c r="B45" i="37" s="1"/>
  <c r="G120" i="35"/>
  <c r="B62" i="37" l="1"/>
  <c r="L55" i="37" l="1"/>
  <c r="N2" i="37"/>
  <c r="L1" i="31" l="1"/>
  <c r="F7" i="34" l="1"/>
  <c r="I2" i="31" l="1"/>
  <c r="L26" i="37" l="1"/>
  <c r="L26" i="36"/>
  <c r="L26" i="31"/>
  <c r="G26" i="37"/>
  <c r="G26" i="36"/>
  <c r="G26" i="31"/>
  <c r="F101" i="35" l="1"/>
  <c r="G99" i="35" l="1"/>
  <c r="F99" i="35"/>
  <c r="H98" i="35"/>
  <c r="G98" i="35"/>
  <c r="F98" i="35"/>
  <c r="H97" i="35" a="1"/>
  <c r="H97" i="35" s="1"/>
  <c r="G97" i="35" a="1"/>
  <c r="G97" i="35" s="1"/>
  <c r="F97" i="35" a="1"/>
  <c r="F97" i="35" s="1"/>
  <c r="H96" i="35" a="1"/>
  <c r="H96" i="35" s="1"/>
  <c r="G96" i="35" a="1"/>
  <c r="G96" i="35" s="1"/>
  <c r="F96" i="35" a="1"/>
  <c r="F96" i="35" s="1"/>
  <c r="H95" i="35" a="1"/>
  <c r="H95" i="35" s="1"/>
  <c r="G95" i="35" a="1"/>
  <c r="G95" i="35" s="1"/>
  <c r="F95" i="35" a="1"/>
  <c r="F95" i="35" s="1"/>
  <c r="H94" i="35"/>
  <c r="H92" i="35" a="1"/>
  <c r="H92" i="35" s="1"/>
  <c r="G92" i="35" a="1"/>
  <c r="G92" i="35" s="1"/>
  <c r="F92" i="35" a="1"/>
  <c r="F92" i="35" s="1"/>
  <c r="H91" i="35" a="1"/>
  <c r="H91" i="35" s="1"/>
  <c r="G91" i="35" a="1"/>
  <c r="G91" i="35" s="1"/>
  <c r="F91" i="35" a="1"/>
  <c r="F91" i="35" s="1"/>
  <c r="H90" i="35" a="1"/>
  <c r="H90" i="35" s="1"/>
  <c r="G90" i="35" a="1"/>
  <c r="G90" i="35" s="1"/>
  <c r="F90" i="35" a="1"/>
  <c r="F90" i="35" s="1"/>
  <c r="H89" i="35" a="1"/>
  <c r="H89" i="35" s="1"/>
  <c r="G89" i="35" a="1"/>
  <c r="G89" i="35" s="1"/>
  <c r="F89" i="35" a="1"/>
  <c r="F89" i="35" s="1"/>
  <c r="H88" i="35" a="1"/>
  <c r="H88" i="35" s="1"/>
  <c r="G88" i="35" a="1"/>
  <c r="G88" i="35" s="1"/>
  <c r="F88" i="35" a="1"/>
  <c r="F88" i="35" s="1"/>
  <c r="H87" i="35" a="1"/>
  <c r="H87" i="35" s="1"/>
  <c r="G87" i="35" a="1"/>
  <c r="G87" i="35" s="1"/>
  <c r="F87" i="35" a="1"/>
  <c r="F87" i="35" s="1"/>
  <c r="H86" i="35" a="1"/>
  <c r="H86" i="35" s="1"/>
  <c r="G86" i="35" a="1"/>
  <c r="G86" i="35" s="1"/>
  <c r="F86" i="35" a="1"/>
  <c r="F86" i="35" s="1"/>
  <c r="H85" i="35" a="1"/>
  <c r="H85" i="35" s="1"/>
  <c r="G85" i="35" a="1"/>
  <c r="G85" i="35" s="1"/>
  <c r="F85" i="35" a="1"/>
  <c r="F85" i="35" s="1"/>
  <c r="H84" i="35" a="1"/>
  <c r="H84" i="35" s="1"/>
  <c r="G84" i="35" a="1"/>
  <c r="G84" i="35" s="1"/>
  <c r="F84" i="35" a="1"/>
  <c r="F84" i="35" s="1"/>
  <c r="H83" i="35" a="1"/>
  <c r="H83" i="35" s="1"/>
  <c r="G83" i="35" a="1"/>
  <c r="G83" i="35" s="1"/>
  <c r="F83" i="35" a="1"/>
  <c r="F83" i="35" s="1"/>
  <c r="H82" i="35" a="1"/>
  <c r="H82" i="35" s="1"/>
  <c r="G82" i="35" a="1"/>
  <c r="G82" i="35" s="1"/>
  <c r="F82" i="35" a="1"/>
  <c r="F82" i="35" s="1"/>
  <c r="H81" i="35" a="1"/>
  <c r="H81" i="35" s="1"/>
  <c r="G81" i="35" a="1"/>
  <c r="G81" i="35" s="1"/>
  <c r="F81" i="35" a="1"/>
  <c r="F81" i="35" s="1"/>
  <c r="H80" i="35" a="1"/>
  <c r="H80" i="35" s="1"/>
  <c r="G80" i="35" a="1"/>
  <c r="G80" i="35" s="1"/>
  <c r="F80" i="35" a="1"/>
  <c r="F80" i="35" s="1"/>
  <c r="G101" i="35"/>
  <c r="H101" i="35"/>
  <c r="H100" i="35" a="1"/>
  <c r="H100" i="35" s="1"/>
  <c r="G100" i="35" a="1"/>
  <c r="G100" i="35" s="1"/>
  <c r="I76" i="35" a="1"/>
  <c r="I76" i="35" s="1"/>
  <c r="I77" i="35"/>
  <c r="H77" i="35"/>
  <c r="F100" i="35" a="1"/>
  <c r="F100" i="35" s="1"/>
  <c r="H76" i="35" a="1"/>
  <c r="H76" i="35" s="1"/>
  <c r="M29" i="35"/>
  <c r="G109" i="35" l="1"/>
  <c r="F102" i="35"/>
  <c r="F104" i="35" s="1"/>
  <c r="F108" i="35"/>
  <c r="F109" i="35"/>
  <c r="L98" i="35"/>
  <c r="H108" i="35"/>
  <c r="G110" i="35"/>
  <c r="H109" i="35"/>
  <c r="I101" i="35"/>
  <c r="G108" i="35"/>
  <c r="F110" i="35"/>
  <c r="H110" i="35"/>
  <c r="I100" i="35"/>
  <c r="G102" i="35"/>
  <c r="G104" i="35" s="1"/>
  <c r="F122" i="35" s="1"/>
  <c r="H102" i="35"/>
  <c r="AB8" i="35" a="1"/>
  <c r="AB8" i="35" s="1"/>
  <c r="AA8" i="35" a="1"/>
  <c r="AA8" i="35" s="1"/>
  <c r="Z8" i="35" a="1"/>
  <c r="Z8" i="35" s="1"/>
  <c r="Y8" i="35" a="1"/>
  <c r="Y8" i="35" s="1"/>
  <c r="J57" i="35" a="1"/>
  <c r="J57" i="35" s="1"/>
  <c r="I57" i="35" a="1"/>
  <c r="I57" i="35" s="1"/>
  <c r="H57" i="35" a="1"/>
  <c r="H57" i="35" s="1"/>
  <c r="G57" i="35" a="1"/>
  <c r="G57" i="35" s="1"/>
  <c r="F57" i="35" a="1"/>
  <c r="F57" i="35" s="1"/>
  <c r="I11" i="35" a="1"/>
  <c r="I11" i="35" s="1"/>
  <c r="H11" i="35" a="1"/>
  <c r="H11" i="35" s="1"/>
  <c r="G11" i="35" a="1"/>
  <c r="G11" i="35" s="1"/>
  <c r="F11" i="35" a="1"/>
  <c r="F11" i="35" s="1"/>
  <c r="G121" i="35" l="1"/>
  <c r="G122" i="35" s="1"/>
  <c r="F121" i="35"/>
  <c r="F103" i="35"/>
  <c r="G103" i="35" s="1"/>
  <c r="H103" i="35" s="1"/>
  <c r="I108" i="35"/>
  <c r="H111" i="35"/>
  <c r="G111" i="35"/>
  <c r="F111" i="35"/>
  <c r="F112" i="35" s="1"/>
  <c r="I110" i="35"/>
  <c r="I109" i="35"/>
  <c r="L1" i="37"/>
  <c r="N1" i="36"/>
  <c r="N2" i="36" s="1"/>
  <c r="N3" i="36" s="1"/>
  <c r="N4" i="36" s="1"/>
  <c r="L55" i="31"/>
  <c r="G55" i="31"/>
  <c r="G112" i="35" l="1"/>
  <c r="H112" i="35" s="1"/>
  <c r="I111" i="35"/>
  <c r="B55" i="31"/>
  <c r="I31" i="34" l="1"/>
  <c r="H71" i="35" l="1"/>
  <c r="I71" i="35"/>
  <c r="K52" i="35"/>
  <c r="J71" i="35"/>
  <c r="J72" i="35"/>
  <c r="J67" i="35"/>
  <c r="J70" i="35" a="1"/>
  <c r="J70" i="35" s="1"/>
  <c r="J69" i="35" a="1"/>
  <c r="J69" i="35" s="1"/>
  <c r="J68" i="35" a="1"/>
  <c r="J68" i="35" s="1"/>
  <c r="J65" i="35" a="1"/>
  <c r="J65" i="35" s="1"/>
  <c r="J64" i="35" a="1"/>
  <c r="J64" i="35" s="1"/>
  <c r="J63" i="35" a="1"/>
  <c r="J63" i="35" s="1"/>
  <c r="J62" i="35" a="1"/>
  <c r="J62" i="35" s="1"/>
  <c r="J61" i="35" a="1"/>
  <c r="J61" i="35" s="1"/>
  <c r="J60" i="35" a="1"/>
  <c r="J60" i="35" s="1"/>
  <c r="J59" i="35" a="1"/>
  <c r="J59" i="35" s="1"/>
  <c r="J56" i="35" a="1"/>
  <c r="J56" i="35" s="1"/>
  <c r="J55" i="35" a="1"/>
  <c r="J55" i="35" s="1"/>
  <c r="J54" i="35" a="1"/>
  <c r="J54" i="35" s="1"/>
  <c r="J53" i="35" a="1"/>
  <c r="J53" i="35" s="1"/>
  <c r="J58" i="35" a="1"/>
  <c r="J58" i="35" s="1"/>
  <c r="AB4" i="35" a="1"/>
  <c r="AB4" i="35" s="1"/>
  <c r="R44" i="35" l="1"/>
  <c r="R42" i="35"/>
  <c r="R43" i="35"/>
  <c r="J73" i="35"/>
  <c r="R45" i="35" l="1"/>
  <c r="AG4" i="34" a="1"/>
  <c r="AG4" i="34" s="1"/>
  <c r="Y4" i="34" a="1"/>
  <c r="Y4" i="34" s="1"/>
  <c r="Q4" i="34" a="1"/>
  <c r="Q4" i="34" s="1"/>
  <c r="L42" i="37" l="1"/>
  <c r="L45" i="37" s="1"/>
  <c r="G42" i="37"/>
  <c r="G45" i="37" s="1"/>
  <c r="G7" i="37"/>
  <c r="B7" i="37"/>
  <c r="D2" i="37"/>
  <c r="B39" i="31" l="1"/>
  <c r="A9" i="35" l="1"/>
  <c r="G53" i="29"/>
  <c r="B53" i="29" l="1"/>
  <c r="D2" i="36" l="1"/>
  <c r="B8" i="29"/>
  <c r="S41" i="34"/>
  <c r="K66" i="35"/>
  <c r="N44" i="35"/>
  <c r="I96" i="35"/>
  <c r="I69" i="35" a="1"/>
  <c r="I69" i="35" s="1"/>
  <c r="H69" i="35" a="1"/>
  <c r="H69" i="35" s="1"/>
  <c r="G69" i="35" a="1"/>
  <c r="G69" i="35" s="1"/>
  <c r="F69" i="35" a="1"/>
  <c r="F69" i="35" s="1"/>
  <c r="AB20" i="35" a="1"/>
  <c r="AB20" i="35" s="1"/>
  <c r="AA20" i="35" a="1"/>
  <c r="AA20" i="35" s="1"/>
  <c r="Z20" i="35" a="1"/>
  <c r="Z20" i="35" s="1"/>
  <c r="Y20" i="35" a="1"/>
  <c r="Y20" i="35" s="1"/>
  <c r="L53" i="29"/>
  <c r="K69" i="35" l="1"/>
  <c r="AC20" i="35"/>
  <c r="Z4" i="35" a="1"/>
  <c r="Z4" i="35" s="1"/>
  <c r="AA4" i="35" a="1"/>
  <c r="AA4" i="35" s="1"/>
  <c r="Z5" i="35" a="1"/>
  <c r="Z5" i="35" s="1"/>
  <c r="AA5" i="35" a="1"/>
  <c r="AA5" i="35" s="1"/>
  <c r="AB5" i="35" a="1"/>
  <c r="AB5" i="35" s="1"/>
  <c r="Z6" i="35" a="1"/>
  <c r="Z6" i="35" s="1"/>
  <c r="AA6" i="35" a="1"/>
  <c r="AA6" i="35" s="1"/>
  <c r="AB6" i="35" a="1"/>
  <c r="AB6" i="35" s="1"/>
  <c r="Z7" i="35" a="1"/>
  <c r="Z7" i="35" s="1"/>
  <c r="AA7" i="35" a="1"/>
  <c r="AA7" i="35" s="1"/>
  <c r="AB7" i="35" a="1"/>
  <c r="AB7" i="35" s="1"/>
  <c r="Z9" i="35" a="1"/>
  <c r="Z9" i="35" s="1"/>
  <c r="AA9" i="35" a="1"/>
  <c r="AA9" i="35" s="1"/>
  <c r="AB9" i="35" a="1"/>
  <c r="AB9" i="35" s="1"/>
  <c r="Z10" i="35" a="1"/>
  <c r="Z10" i="35" s="1"/>
  <c r="AA10" i="35" a="1"/>
  <c r="AA10" i="35" s="1"/>
  <c r="AB10" i="35" a="1"/>
  <c r="AB10" i="35" s="1"/>
  <c r="Z11" i="35" a="1"/>
  <c r="Z11" i="35" s="1"/>
  <c r="AA11" i="35" a="1"/>
  <c r="AA11" i="35" s="1"/>
  <c r="AB11" i="35" a="1"/>
  <c r="AB11" i="35" s="1"/>
  <c r="Z12" i="35" a="1"/>
  <c r="Z12" i="35" s="1"/>
  <c r="AA12" i="35" a="1"/>
  <c r="AA12" i="35" s="1"/>
  <c r="AB12" i="35" a="1"/>
  <c r="AB12" i="35" s="1"/>
  <c r="Z13" i="35" a="1"/>
  <c r="Z13" i="35" s="1"/>
  <c r="AA13" i="35" a="1"/>
  <c r="AA13" i="35" s="1"/>
  <c r="AB13" i="35" a="1"/>
  <c r="AB13" i="35" s="1"/>
  <c r="Z14" i="35" a="1"/>
  <c r="Z14" i="35" s="1"/>
  <c r="AA14" i="35" a="1"/>
  <c r="AA14" i="35" s="1"/>
  <c r="AB14" i="35" a="1"/>
  <c r="AB14" i="35" s="1"/>
  <c r="Z15" i="35" a="1"/>
  <c r="Z15" i="35" s="1"/>
  <c r="AA15" i="35" a="1"/>
  <c r="AA15" i="35" s="1"/>
  <c r="AB15" i="35" a="1"/>
  <c r="AB15" i="35" s="1"/>
  <c r="Z16" i="35" a="1"/>
  <c r="Z16" i="35" s="1"/>
  <c r="AA16" i="35" a="1"/>
  <c r="AA16" i="35" s="1"/>
  <c r="AB16" i="35" a="1"/>
  <c r="AB16" i="35" s="1"/>
  <c r="Z19" i="35" a="1"/>
  <c r="Z19" i="35" s="1"/>
  <c r="AA19" i="35" a="1"/>
  <c r="AA19" i="35" s="1"/>
  <c r="AB19" i="35" a="1"/>
  <c r="AB19" i="35" s="1"/>
  <c r="Z21" i="35" a="1"/>
  <c r="Z21" i="35" s="1"/>
  <c r="AA21" i="35" a="1"/>
  <c r="AA21" i="35" s="1"/>
  <c r="AB21" i="35" a="1"/>
  <c r="AB21" i="35" s="1"/>
  <c r="AC3" i="35"/>
  <c r="AC17" i="35"/>
  <c r="AC18" i="35"/>
  <c r="AC22" i="35"/>
  <c r="AC23" i="35"/>
  <c r="Y21" i="35" a="1"/>
  <c r="Y21" i="35" s="1"/>
  <c r="Y19" i="35" a="1"/>
  <c r="Y19" i="35" s="1"/>
  <c r="Y16" i="35" a="1"/>
  <c r="Y16" i="35" s="1"/>
  <c r="Y15" i="35" a="1"/>
  <c r="Y15" i="35" s="1"/>
  <c r="Y14" i="35" a="1"/>
  <c r="Y14" i="35" s="1"/>
  <c r="Y13" i="35" a="1"/>
  <c r="Y13" i="35" s="1"/>
  <c r="Y12" i="35" a="1"/>
  <c r="Y12" i="35" s="1"/>
  <c r="Y11" i="35" a="1"/>
  <c r="Y11" i="35" s="1"/>
  <c r="Y10" i="35" a="1"/>
  <c r="Y10" i="35" s="1"/>
  <c r="Y9" i="35" a="1"/>
  <c r="Y9" i="35" s="1"/>
  <c r="Y7" i="35" a="1"/>
  <c r="Y7" i="35" s="1"/>
  <c r="Y6" i="35" a="1"/>
  <c r="Y6" i="35" s="1"/>
  <c r="Y5" i="35" a="1"/>
  <c r="Y5" i="35" s="1"/>
  <c r="Y4" i="35" a="1"/>
  <c r="Y4" i="35" s="1"/>
  <c r="A20" i="35"/>
  <c r="A19" i="35"/>
  <c r="A18" i="35"/>
  <c r="A17" i="35"/>
  <c r="A16" i="35"/>
  <c r="A15" i="35"/>
  <c r="A14" i="35"/>
  <c r="A13" i="35"/>
  <c r="A12" i="35"/>
  <c r="A11" i="35"/>
  <c r="A10" i="35"/>
  <c r="A8" i="35"/>
  <c r="A7" i="35"/>
  <c r="A6" i="35"/>
  <c r="A5" i="35"/>
  <c r="A4" i="35"/>
  <c r="K28" i="35"/>
  <c r="K29" i="35"/>
  <c r="K30" i="35"/>
  <c r="K31" i="35"/>
  <c r="K32" i="35"/>
  <c r="K33" i="35"/>
  <c r="K34" i="35"/>
  <c r="K35" i="35"/>
  <c r="K36" i="35"/>
  <c r="K37" i="35"/>
  <c r="K39" i="35"/>
  <c r="F40" i="35" a="1"/>
  <c r="F40" i="35" s="1"/>
  <c r="G40" i="35" a="1"/>
  <c r="G40" i="35" s="1"/>
  <c r="G48" i="35" s="1"/>
  <c r="H40" i="35" a="1"/>
  <c r="H40" i="35" s="1"/>
  <c r="H48" i="35" s="1"/>
  <c r="I40" i="35" a="1"/>
  <c r="I40" i="35" s="1"/>
  <c r="I48" i="35" s="1"/>
  <c r="K41" i="35"/>
  <c r="K42" i="35"/>
  <c r="K43" i="35"/>
  <c r="K38" i="35"/>
  <c r="K44" i="35"/>
  <c r="K46" i="35"/>
  <c r="K47" i="35"/>
  <c r="K45" i="35"/>
  <c r="I102" i="35"/>
  <c r="G77" i="35"/>
  <c r="G76" i="35" a="1"/>
  <c r="G76" i="35" s="1"/>
  <c r="I72" i="35"/>
  <c r="H72" i="35"/>
  <c r="K71" i="35"/>
  <c r="I67" i="35"/>
  <c r="H67" i="35"/>
  <c r="I70" i="35" a="1"/>
  <c r="I70" i="35" s="1"/>
  <c r="H70" i="35" a="1"/>
  <c r="H70" i="35" s="1"/>
  <c r="G70" i="35" a="1"/>
  <c r="G70" i="35" s="1"/>
  <c r="F70" i="35" a="1"/>
  <c r="F70" i="35" s="1"/>
  <c r="I68" i="35" a="1"/>
  <c r="I68" i="35" s="1"/>
  <c r="H68" i="35" a="1"/>
  <c r="H68" i="35" s="1"/>
  <c r="G68" i="35" a="1"/>
  <c r="G68" i="35" s="1"/>
  <c r="I65" i="35" a="1"/>
  <c r="I65" i="35" s="1"/>
  <c r="H65" i="35" a="1"/>
  <c r="H65" i="35" s="1"/>
  <c r="G65" i="35" a="1"/>
  <c r="G65" i="35" s="1"/>
  <c r="F65" i="35" a="1"/>
  <c r="F65" i="35" s="1"/>
  <c r="I64" i="35" a="1"/>
  <c r="I64" i="35" s="1"/>
  <c r="H64" i="35" a="1"/>
  <c r="H64" i="35" s="1"/>
  <c r="G64" i="35" a="1"/>
  <c r="G64" i="35" s="1"/>
  <c r="F64" i="35" a="1"/>
  <c r="F64" i="35" s="1"/>
  <c r="I63" i="35" a="1"/>
  <c r="I63" i="35" s="1"/>
  <c r="H63" i="35" a="1"/>
  <c r="H63" i="35" s="1"/>
  <c r="G63" i="35" a="1"/>
  <c r="G63" i="35" s="1"/>
  <c r="F63" i="35" a="1"/>
  <c r="F63" i="35" s="1"/>
  <c r="I62" i="35" a="1"/>
  <c r="I62" i="35" s="1"/>
  <c r="H62" i="35" a="1"/>
  <c r="H62" i="35" s="1"/>
  <c r="G62" i="35" a="1"/>
  <c r="G62" i="35" s="1"/>
  <c r="I60" i="35" a="1"/>
  <c r="I60" i="35" s="1"/>
  <c r="H60" i="35" a="1"/>
  <c r="H60" i="35" s="1"/>
  <c r="G60" i="35" a="1"/>
  <c r="G60" i="35" s="1"/>
  <c r="F60" i="35" a="1"/>
  <c r="F60" i="35" s="1"/>
  <c r="I59" i="35" a="1"/>
  <c r="I59" i="35" s="1"/>
  <c r="H59" i="35" a="1"/>
  <c r="H59" i="35" s="1"/>
  <c r="G59" i="35" a="1"/>
  <c r="G59" i="35" s="1"/>
  <c r="F59" i="35" a="1"/>
  <c r="F59" i="35" s="1"/>
  <c r="I58" i="35" a="1"/>
  <c r="I58" i="35" s="1"/>
  <c r="H58" i="35" a="1"/>
  <c r="H58" i="35" s="1"/>
  <c r="G58" i="35" a="1"/>
  <c r="G58" i="35" s="1"/>
  <c r="F58" i="35" a="1"/>
  <c r="F58" i="35" s="1"/>
  <c r="I56" i="35" a="1"/>
  <c r="I56" i="35" s="1"/>
  <c r="H56" i="35" a="1"/>
  <c r="H56" i="35" s="1"/>
  <c r="G56" i="35" a="1"/>
  <c r="G56" i="35" s="1"/>
  <c r="F56" i="35" a="1"/>
  <c r="F56" i="35" s="1"/>
  <c r="I55" i="35" a="1"/>
  <c r="I55" i="35" s="1"/>
  <c r="H55" i="35" a="1"/>
  <c r="H55" i="35" s="1"/>
  <c r="G55" i="35" a="1"/>
  <c r="G55" i="35" s="1"/>
  <c r="F55" i="35" a="1"/>
  <c r="F55" i="35" s="1"/>
  <c r="I54" i="35" a="1"/>
  <c r="I54" i="35" s="1"/>
  <c r="H54" i="35" a="1"/>
  <c r="H54" i="35" s="1"/>
  <c r="G54" i="35" a="1"/>
  <c r="G54" i="35" s="1"/>
  <c r="F54" i="35" a="1"/>
  <c r="F54" i="35" s="1"/>
  <c r="I53" i="35" a="1"/>
  <c r="I53" i="35" s="1"/>
  <c r="H53" i="35" a="1"/>
  <c r="H53" i="35" s="1"/>
  <c r="G53" i="35" a="1"/>
  <c r="G53" i="35" s="1"/>
  <c r="F53" i="35" a="1"/>
  <c r="F53" i="35" s="1"/>
  <c r="I8" i="35" a="1"/>
  <c r="I8" i="35" s="1"/>
  <c r="H8" i="35" a="1"/>
  <c r="H8" i="35" s="1"/>
  <c r="G8" i="35" a="1"/>
  <c r="G8" i="35" s="1"/>
  <c r="F8" i="35" a="1"/>
  <c r="F8" i="35" s="1"/>
  <c r="I4" i="35" a="1"/>
  <c r="I4" i="35" s="1"/>
  <c r="H4" i="35" a="1"/>
  <c r="H4" i="35" s="1"/>
  <c r="G4" i="35" a="1"/>
  <c r="G4" i="35" s="1"/>
  <c r="F4" i="35" a="1"/>
  <c r="F4" i="35" s="1"/>
  <c r="H73" i="35" l="1"/>
  <c r="K54" i="35"/>
  <c r="K62" i="35"/>
  <c r="K58" i="35"/>
  <c r="K68" i="35"/>
  <c r="K56" i="35"/>
  <c r="K64" i="35"/>
  <c r="K60" i="35"/>
  <c r="K67" i="35"/>
  <c r="K57" i="35"/>
  <c r="K65" i="35"/>
  <c r="K53" i="35"/>
  <c r="N42" i="35"/>
  <c r="K59" i="35"/>
  <c r="K70" i="35"/>
  <c r="K63" i="35"/>
  <c r="K55" i="35"/>
  <c r="K72" i="35"/>
  <c r="K61" i="35"/>
  <c r="N43" i="35"/>
  <c r="Z24" i="35"/>
  <c r="Z29" i="35" s="1"/>
  <c r="AC19" i="35"/>
  <c r="AC10" i="35"/>
  <c r="AC13" i="35"/>
  <c r="AC12" i="35"/>
  <c r="AC9" i="35"/>
  <c r="AC7" i="35"/>
  <c r="AC6" i="35"/>
  <c r="AC5" i="35"/>
  <c r="AC11" i="35"/>
  <c r="AC21" i="35"/>
  <c r="AC8" i="35"/>
  <c r="AC16" i="35"/>
  <c r="AC15" i="35"/>
  <c r="AC14" i="35"/>
  <c r="AC4" i="35"/>
  <c r="Y24" i="35"/>
  <c r="Y25" i="35" s="1"/>
  <c r="AA24" i="35"/>
  <c r="AA29" i="35" s="1"/>
  <c r="AB24" i="35"/>
  <c r="AB29" i="35" s="1"/>
  <c r="F48" i="35"/>
  <c r="F49" i="35" s="1"/>
  <c r="G49" i="35" s="1"/>
  <c r="H49" i="35" s="1"/>
  <c r="I49" i="35" s="1"/>
  <c r="K40" i="35"/>
  <c r="K48" i="35" s="1"/>
  <c r="I73" i="35"/>
  <c r="K77" i="35"/>
  <c r="K76" i="35"/>
  <c r="K73" i="35" l="1"/>
  <c r="AC24" i="35"/>
  <c r="Z25" i="35"/>
  <c r="AA25" i="35" s="1"/>
  <c r="AB25" i="35" s="1"/>
  <c r="I99" i="35"/>
  <c r="I98" i="35"/>
  <c r="I97" i="35"/>
  <c r="I95" i="35"/>
  <c r="I94" i="35"/>
  <c r="I93" i="35"/>
  <c r="I92" i="35"/>
  <c r="I91" i="35"/>
  <c r="I90" i="35"/>
  <c r="I89" i="35"/>
  <c r="I88" i="35"/>
  <c r="I87" i="35"/>
  <c r="I86" i="35"/>
  <c r="I85" i="35"/>
  <c r="I84" i="35"/>
  <c r="I83" i="35"/>
  <c r="I82" i="35"/>
  <c r="I81" i="35"/>
  <c r="I80" i="35"/>
  <c r="L2" i="29" l="1"/>
  <c r="I3" i="29" l="1"/>
  <c r="D1" i="29"/>
  <c r="G73" i="35"/>
  <c r="O44" i="35" l="1"/>
  <c r="P44" i="35"/>
  <c r="Q44" i="35"/>
  <c r="O43" i="35"/>
  <c r="P43" i="35"/>
  <c r="Q43" i="35"/>
  <c r="O42" i="35"/>
  <c r="P42" i="35"/>
  <c r="Q42" i="35"/>
  <c r="F73" i="35"/>
  <c r="F74" i="35" s="1"/>
  <c r="S43" i="35" l="1"/>
  <c r="S42" i="35"/>
  <c r="S44" i="35"/>
  <c r="Q45" i="35"/>
  <c r="P45" i="35"/>
  <c r="N45" i="35"/>
  <c r="O45" i="35"/>
  <c r="G74" i="35"/>
  <c r="H74" i="35" s="1"/>
  <c r="I74" i="35" s="1"/>
  <c r="J74" i="35" s="1"/>
  <c r="S45" i="35" l="1"/>
  <c r="L42" i="36"/>
  <c r="L45" i="36" s="1"/>
  <c r="L42" i="31"/>
  <c r="L40" i="29"/>
  <c r="G42" i="36"/>
  <c r="G42" i="31"/>
  <c r="G40" i="29"/>
  <c r="G43" i="29" s="1"/>
  <c r="G1" i="29"/>
  <c r="B42" i="31" l="1"/>
  <c r="B40" i="29"/>
  <c r="I5" i="35" a="1"/>
  <c r="I5" i="35" s="1"/>
  <c r="H5" i="35" a="1"/>
  <c r="H5" i="35" s="1"/>
  <c r="G5" i="35" a="1"/>
  <c r="G5" i="35" s="1"/>
  <c r="F5" i="35" a="1"/>
  <c r="F5" i="35" s="1"/>
  <c r="I6" i="35" a="1"/>
  <c r="I6" i="35" s="1"/>
  <c r="H6" i="35" a="1"/>
  <c r="H6" i="35" s="1"/>
  <c r="G6" i="35" a="1"/>
  <c r="G6" i="35" s="1"/>
  <c r="F6" i="35" a="1"/>
  <c r="F6" i="35" s="1"/>
  <c r="I7" i="35" a="1"/>
  <c r="I7" i="35" s="1"/>
  <c r="H7" i="35" a="1"/>
  <c r="H7" i="35" s="1"/>
  <c r="G7" i="35" a="1"/>
  <c r="G7" i="35" s="1"/>
  <c r="F7" i="35" a="1"/>
  <c r="F7" i="35" s="1"/>
  <c r="I9" i="35" a="1"/>
  <c r="I9" i="35" s="1"/>
  <c r="H9" i="35" a="1"/>
  <c r="H9" i="35" s="1"/>
  <c r="G9" i="35" a="1"/>
  <c r="G9" i="35" s="1"/>
  <c r="F9" i="35" a="1"/>
  <c r="F9" i="35" s="1"/>
  <c r="I10" i="35" a="1"/>
  <c r="I10" i="35" s="1"/>
  <c r="H10" i="35" a="1"/>
  <c r="H10" i="35" s="1"/>
  <c r="G10" i="35" a="1"/>
  <c r="G10" i="35" s="1"/>
  <c r="F10" i="35" a="1"/>
  <c r="F10" i="35" s="1"/>
  <c r="I12" i="35" a="1"/>
  <c r="I12" i="35" s="1"/>
  <c r="H12" i="35" a="1"/>
  <c r="H12" i="35" s="1"/>
  <c r="G12" i="35" a="1"/>
  <c r="G12" i="35" s="1"/>
  <c r="F12" i="35" a="1"/>
  <c r="F12" i="35" s="1"/>
  <c r="I13" i="35" a="1"/>
  <c r="I13" i="35" s="1"/>
  <c r="H13" i="35" a="1"/>
  <c r="H13" i="35" s="1"/>
  <c r="G13" i="35" a="1"/>
  <c r="G13" i="35" s="1"/>
  <c r="F13" i="35" a="1"/>
  <c r="F13" i="35" s="1"/>
  <c r="I14" i="35" a="1"/>
  <c r="I14" i="35" s="1"/>
  <c r="H14" i="35" a="1"/>
  <c r="H14" i="35" s="1"/>
  <c r="G14" i="35" a="1"/>
  <c r="G14" i="35" s="1"/>
  <c r="F14" i="35" a="1"/>
  <c r="F14" i="35" s="1"/>
  <c r="I15" i="35" a="1"/>
  <c r="I15" i="35" s="1"/>
  <c r="H15" i="35" a="1"/>
  <c r="H15" i="35" s="1"/>
  <c r="G15" i="35" a="1"/>
  <c r="G15" i="35" s="1"/>
  <c r="F15" i="35" a="1"/>
  <c r="F15" i="35" s="1"/>
  <c r="I16" i="35" a="1"/>
  <c r="I16" i="35" s="1"/>
  <c r="H16" i="35" a="1"/>
  <c r="H16" i="35" s="1"/>
  <c r="G16" i="35" a="1"/>
  <c r="G16" i="35" s="1"/>
  <c r="F16" i="35" a="1"/>
  <c r="F16" i="35" s="1"/>
  <c r="I17" i="35" a="1"/>
  <c r="I17" i="35" s="1"/>
  <c r="H17" i="35" a="1"/>
  <c r="H17" i="35" s="1"/>
  <c r="G17" i="35" a="1"/>
  <c r="G17" i="35" s="1"/>
  <c r="F17" i="35" a="1"/>
  <c r="F17" i="35" s="1"/>
  <c r="I18" i="35" a="1"/>
  <c r="I18" i="35" s="1"/>
  <c r="H18" i="35" a="1"/>
  <c r="H18" i="35" s="1"/>
  <c r="I20" i="35" a="1"/>
  <c r="I20" i="35" s="1"/>
  <c r="H20" i="35" a="1"/>
  <c r="H20" i="35" s="1"/>
  <c r="G20" i="35" a="1"/>
  <c r="G20" i="35" s="1"/>
  <c r="F20" i="35" a="1"/>
  <c r="F20" i="35" s="1"/>
  <c r="G18" i="35" a="1"/>
  <c r="G18" i="35" s="1"/>
  <c r="F18" i="35" a="1"/>
  <c r="F18" i="35" s="1"/>
  <c r="B56" i="29" l="1"/>
  <c r="B58" i="29" s="1"/>
  <c r="K19" i="35"/>
  <c r="C30" i="22"/>
  <c r="D30" i="22"/>
  <c r="B30" i="22"/>
  <c r="D7" i="22" l="1"/>
  <c r="I6" i="34"/>
  <c r="I7" i="34"/>
  <c r="I8" i="34"/>
  <c r="I9" i="34"/>
  <c r="I10" i="34"/>
  <c r="I11" i="34"/>
  <c r="I12" i="34"/>
  <c r="I13" i="34"/>
  <c r="I14" i="34"/>
  <c r="I15" i="34"/>
  <c r="I16" i="34"/>
  <c r="I17" i="34"/>
  <c r="I18" i="34"/>
  <c r="I19" i="34"/>
  <c r="I20" i="34"/>
  <c r="I21" i="34"/>
  <c r="I22" i="34"/>
  <c r="I23" i="34"/>
  <c r="I24" i="34"/>
  <c r="I25" i="34"/>
  <c r="I26" i="34"/>
  <c r="I27" i="34"/>
  <c r="I28" i="34"/>
  <c r="I29" i="34"/>
  <c r="I30" i="34"/>
  <c r="I5" i="34"/>
  <c r="G45" i="36"/>
  <c r="B42" i="36"/>
  <c r="B45" i="36" s="1"/>
  <c r="G7" i="36"/>
  <c r="B7" i="36"/>
  <c r="B19" i="22" l="1"/>
  <c r="C19" i="22"/>
  <c r="D19" i="22"/>
  <c r="C7" i="22" l="1"/>
  <c r="B7" i="22"/>
  <c r="G28" i="25" l="1"/>
  <c r="G10" i="25"/>
  <c r="B28" i="25"/>
  <c r="B43" i="29" l="1"/>
  <c r="G49" i="25" l="1"/>
  <c r="B49" i="25" l="1"/>
  <c r="L10" i="25" l="1"/>
  <c r="O10" i="29" l="1"/>
  <c r="I14" i="25"/>
  <c r="B39" i="25" l="1"/>
  <c r="G8" i="25" l="1"/>
  <c r="B8" i="25" l="1"/>
  <c r="L45" i="31" l="1"/>
  <c r="L43" i="29"/>
  <c r="L39" i="25"/>
  <c r="L42" i="25" s="1"/>
  <c r="I4" i="25" l="1"/>
  <c r="G39" i="25" l="1"/>
  <c r="G42" i="25" s="1"/>
  <c r="B42" i="25" l="1"/>
  <c r="B45" i="31"/>
  <c r="D14" i="25"/>
  <c r="D54" i="25" l="1"/>
  <c r="G52" i="25" l="1"/>
  <c r="B52" i="25" l="1"/>
  <c r="N25" i="25" l="1"/>
  <c r="K20" i="34"/>
  <c r="Y5" i="34" s="1" a="1"/>
  <c r="Y5" i="34" s="1"/>
  <c r="AE2" i="34" s="1"/>
  <c r="K19" i="34"/>
  <c r="AG5" i="34" s="1" a="1"/>
  <c r="AG5" i="34" s="1"/>
  <c r="AM2" i="34" s="1"/>
  <c r="K17" i="34"/>
  <c r="K16" i="34"/>
  <c r="K15" i="34"/>
  <c r="K14" i="34"/>
  <c r="K13" i="34"/>
  <c r="K12" i="34"/>
  <c r="Q5" i="34" s="1" a="1"/>
  <c r="Q5" i="34" s="1"/>
  <c r="K11" i="34"/>
  <c r="K10" i="34"/>
  <c r="K9" i="34"/>
  <c r="K8" i="34"/>
  <c r="K7" i="34"/>
  <c r="K6" i="34"/>
  <c r="K5" i="34"/>
  <c r="L12" i="37" l="1"/>
  <c r="L14" i="37" s="1"/>
  <c r="B12" i="37"/>
  <c r="W2" i="34"/>
  <c r="B27" i="37" s="1"/>
  <c r="V2" i="34"/>
  <c r="AC2" i="34"/>
  <c r="AD2" i="34"/>
  <c r="I21" i="35"/>
  <c r="AL2" i="34"/>
  <c r="S2" i="34"/>
  <c r="AB2" i="34"/>
  <c r="K15" i="35"/>
  <c r="AA2" i="34"/>
  <c r="T2" i="34"/>
  <c r="U2" i="34"/>
  <c r="B27" i="31" s="1"/>
  <c r="AK2" i="34"/>
  <c r="AI2" i="34"/>
  <c r="B11" i="25" s="1"/>
  <c r="AJ2" i="34"/>
  <c r="B11" i="29" s="1"/>
  <c r="AA75" i="27"/>
  <c r="T81" i="27"/>
  <c r="V81" i="27"/>
  <c r="AC75" i="27" s="1"/>
  <c r="T52" i="27"/>
  <c r="AA46" i="27" s="1"/>
  <c r="U52" i="27"/>
  <c r="AB46" i="27" s="1"/>
  <c r="V52" i="27"/>
  <c r="AC46" i="27" s="1"/>
  <c r="M81" i="27"/>
  <c r="U81" i="27" s="1"/>
  <c r="AB75" i="27" s="1"/>
  <c r="M52" i="27"/>
  <c r="V23" i="27"/>
  <c r="AC20" i="27" s="1"/>
  <c r="U23" i="27"/>
  <c r="AB20" i="27" s="1"/>
  <c r="T23" i="27"/>
  <c r="AA20" i="27" s="1"/>
  <c r="B12" i="36" l="1"/>
  <c r="L12" i="36"/>
  <c r="B27" i="36"/>
  <c r="S33" i="34"/>
  <c r="S35" i="34" s="1"/>
  <c r="U33" i="34"/>
  <c r="T33" i="34"/>
  <c r="V33" i="34"/>
  <c r="K8" i="35"/>
  <c r="B25" i="25"/>
  <c r="G25" i="25" s="1"/>
  <c r="N17" i="27"/>
  <c r="N46" i="27" s="1"/>
  <c r="K7" i="35"/>
  <c r="K5" i="35"/>
  <c r="K16" i="35"/>
  <c r="K17" i="35"/>
  <c r="K12" i="35"/>
  <c r="K6" i="35"/>
  <c r="K20" i="35"/>
  <c r="K10" i="35"/>
  <c r="K9" i="35"/>
  <c r="K18" i="35"/>
  <c r="K11" i="35"/>
  <c r="K13" i="35"/>
  <c r="K14" i="35"/>
  <c r="F21" i="35"/>
  <c r="F22" i="35" s="1"/>
  <c r="B12" i="31"/>
  <c r="H21" i="35"/>
  <c r="B25" i="29"/>
  <c r="L25" i="29" s="1"/>
  <c r="G11" i="25"/>
  <c r="A14" i="22"/>
  <c r="A25" i="22"/>
  <c r="G12" i="31" l="1"/>
  <c r="L12" i="31" s="1"/>
  <c r="L27" i="37"/>
  <c r="L28" i="37" s="1"/>
  <c r="L32" i="37" s="1"/>
  <c r="G27" i="37"/>
  <c r="G28" i="37" s="1"/>
  <c r="G32" i="37" s="1"/>
  <c r="B28" i="37"/>
  <c r="B32" i="37" s="1"/>
  <c r="G12" i="37"/>
  <c r="G14" i="37" s="1"/>
  <c r="B14" i="37"/>
  <c r="B15" i="37" s="1"/>
  <c r="T35" i="34"/>
  <c r="S38" i="34"/>
  <c r="L25" i="25"/>
  <c r="K4" i="35"/>
  <c r="K21" i="35" s="1"/>
  <c r="G27" i="36"/>
  <c r="G28" i="36" s="1"/>
  <c r="G32" i="36" s="1"/>
  <c r="B28" i="36"/>
  <c r="B32" i="36" s="1"/>
  <c r="L27" i="36"/>
  <c r="L28" i="36" s="1"/>
  <c r="L32" i="36" s="1"/>
  <c r="G11" i="29"/>
  <c r="L11" i="29" s="1"/>
  <c r="G25" i="29"/>
  <c r="B14" i="36"/>
  <c r="G12" i="36"/>
  <c r="G21" i="35"/>
  <c r="L27" i="31"/>
  <c r="G27" i="31"/>
  <c r="T74" i="27"/>
  <c r="AA71" i="27" s="1"/>
  <c r="U74" i="27"/>
  <c r="AB71" i="27" s="1"/>
  <c r="V74" i="27"/>
  <c r="AC71" i="27" s="1"/>
  <c r="V45" i="27"/>
  <c r="AC42" i="27" s="1"/>
  <c r="U45" i="27"/>
  <c r="AB42" i="27" s="1"/>
  <c r="T45" i="27"/>
  <c r="AA42" i="27" s="1"/>
  <c r="V16" i="27"/>
  <c r="AC16" i="27" s="1"/>
  <c r="U16" i="27"/>
  <c r="AB16" i="27" s="1"/>
  <c r="T16" i="27"/>
  <c r="AA16" i="27" s="1"/>
  <c r="B54" i="37" l="1"/>
  <c r="B56" i="37" s="1"/>
  <c r="L15" i="37"/>
  <c r="G15" i="37"/>
  <c r="G54" i="37" s="1"/>
  <c r="G56" i="37" s="1"/>
  <c r="T38" i="34"/>
  <c r="U35" i="34"/>
  <c r="G22" i="35"/>
  <c r="H22" i="35" s="1"/>
  <c r="I22" i="35" s="1"/>
  <c r="B54" i="36"/>
  <c r="B56" i="36" s="1"/>
  <c r="L14" i="36"/>
  <c r="L15" i="36" s="1"/>
  <c r="L19" i="36" s="1"/>
  <c r="G14" i="36"/>
  <c r="G15" i="36" s="1"/>
  <c r="G54" i="36" s="1"/>
  <c r="G56" i="36" s="1"/>
  <c r="L19" i="37" l="1"/>
  <c r="L54" i="37"/>
  <c r="L56" i="37" s="1"/>
  <c r="U38" i="34"/>
  <c r="V35" i="34"/>
  <c r="V38" i="34" s="1"/>
  <c r="L54" i="36"/>
  <c r="L56" i="36" s="1"/>
  <c r="B28" i="31"/>
  <c r="G16" i="30"/>
  <c r="G17" i="30"/>
  <c r="H16" i="30"/>
  <c r="H17" i="30"/>
  <c r="H15" i="30"/>
  <c r="G15" i="30"/>
  <c r="G28" i="31"/>
  <c r="G32" i="31" s="1"/>
  <c r="M80" i="27" l="1"/>
  <c r="U80" i="27" s="1"/>
  <c r="AB74" i="27" s="1"/>
  <c r="M51" i="27"/>
  <c r="U51" i="27" s="1"/>
  <c r="AB45" i="27" s="1"/>
  <c r="M47" i="27"/>
  <c r="M35" i="27"/>
  <c r="T80" i="27"/>
  <c r="AA74" i="27" s="1"/>
  <c r="V80" i="27"/>
  <c r="AC74" i="27" s="1"/>
  <c r="T51" i="27"/>
  <c r="AA45" i="27" s="1"/>
  <c r="V51" i="27"/>
  <c r="AC45" i="27" s="1"/>
  <c r="U22" i="27"/>
  <c r="AB19" i="27" s="1"/>
  <c r="T22" i="27"/>
  <c r="AA19" i="27" s="1"/>
  <c r="V22" i="27"/>
  <c r="AC19" i="27" s="1"/>
  <c r="H5" i="30"/>
  <c r="H6" i="30"/>
  <c r="G5" i="30"/>
  <c r="G6" i="30"/>
  <c r="E14" i="26"/>
  <c r="E13" i="26"/>
  <c r="E12" i="26"/>
  <c r="G45" i="31"/>
  <c r="J8" i="25"/>
  <c r="L28" i="31" l="1"/>
  <c r="L32" i="31" s="1"/>
  <c r="B32" i="31"/>
  <c r="L14" i="31"/>
  <c r="L15" i="31" s="1"/>
  <c r="G14" i="31"/>
  <c r="G15" i="31" s="1"/>
  <c r="B7" i="31"/>
  <c r="B14" i="31" s="1"/>
  <c r="B15" i="31" s="1"/>
  <c r="B54" i="31" l="1"/>
  <c r="G54" i="31"/>
  <c r="G56" i="31" s="1"/>
  <c r="L54" i="31"/>
  <c r="L56" i="31" s="1"/>
  <c r="B56" i="31" l="1"/>
  <c r="D54" i="31"/>
  <c r="M65" i="27"/>
  <c r="M66" i="27"/>
  <c r="M67" i="27"/>
  <c r="M68" i="27"/>
  <c r="M69" i="27"/>
  <c r="M70" i="27"/>
  <c r="M71" i="27"/>
  <c r="M72" i="27"/>
  <c r="M73" i="27"/>
  <c r="M75" i="27"/>
  <c r="M76" i="27"/>
  <c r="M77" i="27"/>
  <c r="M78" i="27"/>
  <c r="M82" i="27"/>
  <c r="M83" i="27"/>
  <c r="M64" i="27"/>
  <c r="M48" i="27"/>
  <c r="M49" i="27"/>
  <c r="M53" i="27"/>
  <c r="M54" i="27"/>
  <c r="M46" i="27"/>
  <c r="M44" i="27"/>
  <c r="M43" i="27"/>
  <c r="M42" i="27"/>
  <c r="M41" i="27"/>
  <c r="M40" i="27"/>
  <c r="M39" i="27"/>
  <c r="M38" i="27"/>
  <c r="M37" i="27"/>
  <c r="M36" i="27"/>
  <c r="O8" i="25"/>
  <c r="N79" i="27" l="1"/>
  <c r="M50" i="27" l="1"/>
  <c r="M79" i="27"/>
  <c r="C31" i="30" l="1"/>
  <c r="T42" i="27" l="1"/>
  <c r="U42" i="27"/>
  <c r="V42" i="27"/>
  <c r="T43" i="27"/>
  <c r="AA41" i="27" s="1"/>
  <c r="U43" i="27"/>
  <c r="AB41" i="27" s="1"/>
  <c r="V43" i="27"/>
  <c r="AC41" i="27" s="1"/>
  <c r="T44" i="27"/>
  <c r="AA39" i="27" s="1"/>
  <c r="U44" i="27"/>
  <c r="AB39" i="27" s="1"/>
  <c r="V44" i="27"/>
  <c r="AC39" i="27" s="1"/>
  <c r="T46" i="27"/>
  <c r="U46" i="27"/>
  <c r="V46" i="27"/>
  <c r="T71" i="27"/>
  <c r="U71" i="27"/>
  <c r="V71" i="27"/>
  <c r="T72" i="27"/>
  <c r="AA70" i="27" s="1"/>
  <c r="U72" i="27"/>
  <c r="AB70" i="27" s="1"/>
  <c r="V72" i="27"/>
  <c r="AC70" i="27" s="1"/>
  <c r="T73" i="27"/>
  <c r="AA68" i="27" s="1"/>
  <c r="U73" i="27"/>
  <c r="AB68" i="27" s="1"/>
  <c r="V73" i="27"/>
  <c r="AC68" i="27" s="1"/>
  <c r="T75" i="27"/>
  <c r="U75" i="27"/>
  <c r="V75" i="27"/>
  <c r="S13" i="25" l="1"/>
  <c r="N35" i="27" l="1"/>
  <c r="N6" i="27"/>
  <c r="V15" i="27"/>
  <c r="AC13" i="27" s="1"/>
  <c r="U15" i="27"/>
  <c r="AB13" i="27" s="1"/>
  <c r="T15" i="27"/>
  <c r="AA13" i="27" s="1"/>
  <c r="R59" i="27" l="1"/>
  <c r="N18" i="27"/>
  <c r="H31" i="30" l="1"/>
  <c r="E32" i="30"/>
  <c r="C32" i="30"/>
  <c r="H30" i="30"/>
  <c r="E31" i="30"/>
  <c r="G31" i="30" l="1"/>
  <c r="G30" i="30"/>
  <c r="B9" i="26"/>
  <c r="AA40" i="27" l="1"/>
  <c r="AA67" i="27"/>
  <c r="AB67" i="27"/>
  <c r="AC67" i="27"/>
  <c r="AA38" i="27"/>
  <c r="AB38" i="27"/>
  <c r="AC38" i="27"/>
  <c r="V17" i="27"/>
  <c r="AC12" i="27" s="1"/>
  <c r="U17" i="27"/>
  <c r="AB12" i="27" s="1"/>
  <c r="T17" i="27"/>
  <c r="AA12" i="27" s="1"/>
  <c r="H4" i="30"/>
  <c r="G4" i="30" l="1"/>
  <c r="R30" i="27"/>
  <c r="J30" i="27" l="1"/>
  <c r="J59" i="27" s="1"/>
  <c r="N76" i="27" l="1"/>
  <c r="N47" i="27"/>
  <c r="C12" i="26" l="1"/>
  <c r="D12" i="26"/>
  <c r="C13" i="26"/>
  <c r="D13" i="26"/>
  <c r="C14" i="26"/>
  <c r="D14" i="26"/>
  <c r="B8" i="22"/>
  <c r="L26" i="29" l="1"/>
  <c r="L30" i="29" s="1"/>
  <c r="G26" i="29"/>
  <c r="G30" i="29" s="1"/>
  <c r="B26" i="29"/>
  <c r="B30" i="29" s="1"/>
  <c r="L13" i="29"/>
  <c r="L14" i="29" s="1"/>
  <c r="G7" i="29"/>
  <c r="G13" i="29" s="1"/>
  <c r="G14" i="29" s="1"/>
  <c r="B7" i="29"/>
  <c r="B13" i="29" s="1"/>
  <c r="B14" i="29" s="1"/>
  <c r="B52" i="29" l="1"/>
  <c r="B54" i="29" s="1"/>
  <c r="L52" i="29"/>
  <c r="L54" i="29" s="1"/>
  <c r="G52" i="29"/>
  <c r="G54" i="29" s="1"/>
  <c r="T65" i="27" l="1"/>
  <c r="U65" i="27"/>
  <c r="V65" i="27"/>
  <c r="T66" i="27"/>
  <c r="U66" i="27"/>
  <c r="V66" i="27"/>
  <c r="T67" i="27"/>
  <c r="AA66" i="27" s="1"/>
  <c r="U67" i="27"/>
  <c r="AB66" i="27" s="1"/>
  <c r="V67" i="27"/>
  <c r="AC66" i="27" s="1"/>
  <c r="T68" i="27"/>
  <c r="AA65" i="27" s="1"/>
  <c r="U68" i="27"/>
  <c r="AB65" i="27" s="1"/>
  <c r="V68" i="27"/>
  <c r="AC65" i="27" s="1"/>
  <c r="T69" i="27"/>
  <c r="U69" i="27"/>
  <c r="V69" i="27"/>
  <c r="T70" i="27"/>
  <c r="AA64" i="27" s="1"/>
  <c r="U70" i="27"/>
  <c r="AB64" i="27" s="1"/>
  <c r="V70" i="27"/>
  <c r="AC64" i="27" s="1"/>
  <c r="AA69" i="27"/>
  <c r="AB69" i="27"/>
  <c r="AC69" i="27"/>
  <c r="T76" i="27"/>
  <c r="AA72" i="27" s="1"/>
  <c r="U76" i="27"/>
  <c r="V76" i="27"/>
  <c r="AC72" i="27" s="1"/>
  <c r="T77" i="27"/>
  <c r="U77" i="27"/>
  <c r="V77" i="27"/>
  <c r="T78" i="27"/>
  <c r="U78" i="27"/>
  <c r="V78" i="27"/>
  <c r="T79" i="27"/>
  <c r="AA73" i="27" s="1"/>
  <c r="U79" i="27"/>
  <c r="AB73" i="27" s="1"/>
  <c r="V79" i="27"/>
  <c r="AC73" i="27" s="1"/>
  <c r="T82" i="27"/>
  <c r="AA76" i="27" s="1"/>
  <c r="U82" i="27"/>
  <c r="AB76" i="27" s="1"/>
  <c r="V82" i="27"/>
  <c r="AC76" i="27" s="1"/>
  <c r="T83" i="27"/>
  <c r="U83" i="27"/>
  <c r="V83" i="27"/>
  <c r="U64" i="27"/>
  <c r="AB63" i="27" s="1"/>
  <c r="V64" i="27"/>
  <c r="AC63" i="27" s="1"/>
  <c r="T64" i="27"/>
  <c r="AA63" i="27" s="1"/>
  <c r="T36" i="27"/>
  <c r="U36" i="27"/>
  <c r="V36" i="27"/>
  <c r="T37" i="27"/>
  <c r="U37" i="27"/>
  <c r="V37" i="27"/>
  <c r="T38" i="27"/>
  <c r="AA37" i="27" s="1"/>
  <c r="U38" i="27"/>
  <c r="AB37" i="27" s="1"/>
  <c r="V38" i="27"/>
  <c r="AC37" i="27" s="1"/>
  <c r="T39" i="27"/>
  <c r="AA36" i="27" s="1"/>
  <c r="U39" i="27"/>
  <c r="AB36" i="27" s="1"/>
  <c r="V39" i="27"/>
  <c r="AC36" i="27" s="1"/>
  <c r="T40" i="27"/>
  <c r="U40" i="27"/>
  <c r="V40" i="27"/>
  <c r="T41" i="27"/>
  <c r="AA35" i="27" s="1"/>
  <c r="U41" i="27"/>
  <c r="AB35" i="27" s="1"/>
  <c r="V41" i="27"/>
  <c r="AC35" i="27" s="1"/>
  <c r="AB40" i="27"/>
  <c r="AC40" i="27"/>
  <c r="T47" i="27"/>
  <c r="AA43" i="27" s="1"/>
  <c r="U47" i="27"/>
  <c r="AB43" i="27" s="1"/>
  <c r="V47" i="27"/>
  <c r="AC43" i="27" s="1"/>
  <c r="T48" i="27"/>
  <c r="U48" i="27"/>
  <c r="V48" i="27"/>
  <c r="T49" i="27"/>
  <c r="U49" i="27"/>
  <c r="V49" i="27"/>
  <c r="T50" i="27"/>
  <c r="AA44" i="27" s="1"/>
  <c r="U50" i="27"/>
  <c r="AB44" i="27" s="1"/>
  <c r="V50" i="27"/>
  <c r="AC44" i="27" s="1"/>
  <c r="T53" i="27"/>
  <c r="AA47" i="27" s="1"/>
  <c r="U53" i="27"/>
  <c r="AB47" i="27" s="1"/>
  <c r="V53" i="27"/>
  <c r="AC47" i="27" s="1"/>
  <c r="T54" i="27"/>
  <c r="U54" i="27"/>
  <c r="V54" i="27"/>
  <c r="U35" i="27"/>
  <c r="AB34" i="27" s="1"/>
  <c r="V35" i="27"/>
  <c r="AC34" i="27" s="1"/>
  <c r="T35" i="27"/>
  <c r="N84" i="27"/>
  <c r="M84" i="27"/>
  <c r="L84" i="27"/>
  <c r="N55" i="27"/>
  <c r="M55" i="27"/>
  <c r="L55" i="27"/>
  <c r="F42" i="27"/>
  <c r="E42" i="27"/>
  <c r="D42" i="27"/>
  <c r="F39" i="27"/>
  <c r="E39" i="27"/>
  <c r="D39" i="27"/>
  <c r="F34" i="27"/>
  <c r="E34" i="27"/>
  <c r="D34" i="27"/>
  <c r="N26" i="27"/>
  <c r="M26" i="27"/>
  <c r="L26" i="27"/>
  <c r="F26" i="27"/>
  <c r="F31" i="27" s="1"/>
  <c r="E26" i="27"/>
  <c r="E31" i="27" s="1"/>
  <c r="D26" i="27"/>
  <c r="D31" i="27" s="1"/>
  <c r="V25" i="27"/>
  <c r="U25" i="27"/>
  <c r="T25" i="27"/>
  <c r="V24" i="27"/>
  <c r="AC21" i="27" s="1"/>
  <c r="U24" i="27"/>
  <c r="AB21" i="27" s="1"/>
  <c r="T24" i="27"/>
  <c r="AA21" i="27" s="1"/>
  <c r="V21" i="27"/>
  <c r="AC18" i="27" s="1"/>
  <c r="U21" i="27"/>
  <c r="AB18" i="27" s="1"/>
  <c r="T21" i="27"/>
  <c r="AA18" i="27" s="1"/>
  <c r="V20" i="27"/>
  <c r="U20" i="27"/>
  <c r="T20" i="27"/>
  <c r="V19" i="27"/>
  <c r="U19" i="27"/>
  <c r="T19" i="27"/>
  <c r="V18" i="27"/>
  <c r="AC17" i="27" s="1"/>
  <c r="U18" i="27"/>
  <c r="AB17" i="27" s="1"/>
  <c r="T18" i="27"/>
  <c r="AA17" i="27" s="1"/>
  <c r="V14" i="27"/>
  <c r="AC15" i="27" s="1"/>
  <c r="U14" i="27"/>
  <c r="AB15" i="27" s="1"/>
  <c r="T14" i="27"/>
  <c r="AA15" i="27" s="1"/>
  <c r="V13" i="27"/>
  <c r="AC14" i="27" s="1"/>
  <c r="U13" i="27"/>
  <c r="AB14" i="27" s="1"/>
  <c r="T13" i="27"/>
  <c r="AA14" i="27" s="1"/>
  <c r="V12" i="27"/>
  <c r="AC9" i="27" s="1"/>
  <c r="U12" i="27"/>
  <c r="AB9" i="27" s="1"/>
  <c r="T12" i="27"/>
  <c r="AA9" i="27" s="1"/>
  <c r="V11" i="27"/>
  <c r="V10" i="27"/>
  <c r="AC10" i="27" s="1"/>
  <c r="U10" i="27"/>
  <c r="AB10" i="27" s="1"/>
  <c r="T10" i="27"/>
  <c r="AA10" i="27" s="1"/>
  <c r="V9" i="27"/>
  <c r="AC11" i="27" s="1"/>
  <c r="U9" i="27"/>
  <c r="AB11" i="27" s="1"/>
  <c r="T9" i="27"/>
  <c r="AA11" i="27" s="1"/>
  <c r="V8" i="27"/>
  <c r="U8" i="27"/>
  <c r="T8" i="27"/>
  <c r="V7" i="27"/>
  <c r="U7" i="27"/>
  <c r="T7" i="27"/>
  <c r="V6" i="27"/>
  <c r="AC8" i="27" s="1"/>
  <c r="U6" i="27"/>
  <c r="T6" i="27"/>
  <c r="AC22" i="27" l="1"/>
  <c r="U26" i="27"/>
  <c r="U84" i="27"/>
  <c r="AA77" i="27"/>
  <c r="AA78" i="27" s="1"/>
  <c r="AC27" i="27"/>
  <c r="AB48" i="27"/>
  <c r="AB72" i="27"/>
  <c r="AB77" i="27" s="1"/>
  <c r="T84" i="27"/>
  <c r="AA34" i="27"/>
  <c r="AA48" i="27" s="1"/>
  <c r="T55" i="27"/>
  <c r="T26" i="27"/>
  <c r="V26" i="27"/>
  <c r="V84" i="27"/>
  <c r="AC77" i="27"/>
  <c r="AC48" i="27"/>
  <c r="V55" i="27"/>
  <c r="U55" i="27"/>
  <c r="AA8" i="27"/>
  <c r="AA22" i="27" s="1"/>
  <c r="AA23" i="27" s="1"/>
  <c r="AB8" i="27"/>
  <c r="AB22" i="27" s="1"/>
  <c r="AB23" i="27" l="1"/>
  <c r="AC23" i="27"/>
  <c r="AB27" i="27"/>
  <c r="AA49" i="27"/>
  <c r="AB49" i="27" s="1"/>
  <c r="AC49" i="27" s="1"/>
  <c r="AB78" i="27"/>
  <c r="AC78" i="27" s="1"/>
  <c r="D7" i="24" l="1"/>
  <c r="C28" i="24" l="1"/>
  <c r="I10" i="24"/>
  <c r="F10" i="24"/>
  <c r="E32" i="24" l="1"/>
  <c r="E31" i="24"/>
  <c r="E34" i="24" l="1"/>
  <c r="E27" i="24"/>
  <c r="E28" i="24" s="1"/>
  <c r="C37" i="24"/>
  <c r="F11" i="24" l="1"/>
  <c r="C11" i="24"/>
  <c r="F5" i="24"/>
  <c r="C5" i="24"/>
  <c r="C16" i="24" l="1"/>
  <c r="F16" i="24"/>
  <c r="L26" i="25" l="1"/>
  <c r="L30" i="25" s="1"/>
  <c r="G26" i="25"/>
  <c r="G30" i="25" s="1"/>
  <c r="B26" i="25"/>
  <c r="B30" i="25" s="1"/>
  <c r="L13" i="25"/>
  <c r="L14" i="25" s="1"/>
  <c r="G7" i="25"/>
  <c r="G13" i="25" s="1"/>
  <c r="B7" i="25"/>
  <c r="G14" i="25" l="1"/>
  <c r="G51" i="25" s="1"/>
  <c r="G53" i="25" s="1"/>
  <c r="B13" i="25"/>
  <c r="B14" i="25" s="1"/>
  <c r="B51" i="25" s="1"/>
  <c r="B53" i="25" s="1"/>
  <c r="L51" i="25"/>
  <c r="L53" i="25" s="1"/>
  <c r="D31" i="22" l="1"/>
  <c r="C31" i="22"/>
  <c r="D20" i="22" l="1"/>
  <c r="C20" i="22" l="1"/>
  <c r="D23" i="22"/>
  <c r="D8" i="22" l="1"/>
  <c r="C8" i="22"/>
  <c r="I11" i="24" l="1"/>
  <c r="I5" i="24"/>
  <c r="I16" i="24" l="1"/>
  <c r="D28" i="10" l="1"/>
  <c r="D43" i="10" l="1"/>
  <c r="D44" i="10" s="1"/>
  <c r="B8" i="10" l="1"/>
  <c r="L10" i="10" l="1"/>
  <c r="L11" i="10"/>
  <c r="L8" i="10"/>
  <c r="K3" i="10" l="1"/>
  <c r="F3" i="10"/>
  <c r="N17" i="10"/>
  <c r="N21" i="10"/>
  <c r="N30" i="10"/>
  <c r="N37" i="10"/>
  <c r="N38" i="10"/>
  <c r="N41" i="10"/>
  <c r="L30" i="10"/>
  <c r="L9" i="10"/>
  <c r="L14" i="10"/>
  <c r="L15" i="10"/>
  <c r="L17" i="10"/>
  <c r="L18" i="10"/>
  <c r="L19" i="10"/>
  <c r="L20" i="10"/>
  <c r="L21" i="10"/>
  <c r="L22" i="10"/>
  <c r="L23" i="10"/>
  <c r="L25" i="10"/>
  <c r="L27" i="10"/>
  <c r="L31" i="10"/>
  <c r="L32" i="10"/>
  <c r="L33" i="10"/>
  <c r="L35" i="10"/>
  <c r="L36" i="10"/>
  <c r="L40" i="10"/>
  <c r="L41" i="10"/>
  <c r="L6" i="10"/>
  <c r="I9" i="10"/>
  <c r="I17" i="10"/>
  <c r="I21" i="10"/>
  <c r="I30" i="10"/>
  <c r="I37" i="10"/>
  <c r="I38" i="10"/>
  <c r="I41" i="10"/>
  <c r="G9" i="10"/>
  <c r="G10" i="10"/>
  <c r="G11" i="10"/>
  <c r="G14" i="10"/>
  <c r="G15" i="10"/>
  <c r="G17" i="10"/>
  <c r="G18" i="10"/>
  <c r="G19" i="10"/>
  <c r="G20" i="10"/>
  <c r="G21" i="10"/>
  <c r="G22" i="10"/>
  <c r="G23" i="10"/>
  <c r="G25" i="10"/>
  <c r="G27" i="10"/>
  <c r="G30" i="10"/>
  <c r="G31" i="10"/>
  <c r="G32" i="10"/>
  <c r="G33" i="10"/>
  <c r="G35" i="10"/>
  <c r="G36" i="10"/>
  <c r="G40" i="10"/>
  <c r="G41" i="10"/>
  <c r="G6" i="10"/>
  <c r="K7" i="10" l="1"/>
  <c r="K8" i="10"/>
  <c r="K9" i="10"/>
  <c r="K10" i="10"/>
  <c r="K11" i="10"/>
  <c r="K12" i="10"/>
  <c r="K13" i="10"/>
  <c r="K14" i="10"/>
  <c r="K15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3" i="10"/>
  <c r="K6" i="10"/>
  <c r="F7" i="10"/>
  <c r="F8" i="10"/>
  <c r="F9" i="10"/>
  <c r="F10" i="10"/>
  <c r="F11" i="10"/>
  <c r="F12" i="10"/>
  <c r="F13" i="10"/>
  <c r="F14" i="10"/>
  <c r="F15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3" i="10"/>
  <c r="F6" i="10"/>
  <c r="B36" i="17" l="1"/>
  <c r="B34" i="10" l="1"/>
  <c r="B28" i="10"/>
  <c r="B24" i="10"/>
  <c r="B26" i="10" s="1"/>
  <c r="B37" i="10" l="1"/>
  <c r="G34" i="10"/>
  <c r="L34" i="10"/>
  <c r="L28" i="10"/>
  <c r="G28" i="10"/>
  <c r="G24" i="10"/>
  <c r="L24" i="10"/>
  <c r="L41" i="17"/>
  <c r="L39" i="17"/>
  <c r="L38" i="17" s="1"/>
  <c r="L7" i="17" s="1"/>
  <c r="L12" i="17" s="1"/>
  <c r="L13" i="17" s="1"/>
  <c r="L35" i="17"/>
  <c r="L37" i="17" s="1"/>
  <c r="L25" i="17"/>
  <c r="L27" i="17" s="1"/>
  <c r="G41" i="17"/>
  <c r="G39" i="17"/>
  <c r="G38" i="17" s="1"/>
  <c r="G7" i="17" s="1"/>
  <c r="G12" i="17" s="1"/>
  <c r="G13" i="17" s="1"/>
  <c r="G35" i="17"/>
  <c r="G37" i="17" s="1"/>
  <c r="G25" i="17"/>
  <c r="G27" i="17" s="1"/>
  <c r="G37" i="10" l="1"/>
  <c r="L37" i="10"/>
  <c r="G26" i="10"/>
  <c r="L26" i="10"/>
  <c r="G43" i="17"/>
  <c r="L43" i="17"/>
  <c r="A57" i="17" l="1"/>
  <c r="A58" i="17" s="1"/>
  <c r="B38" i="10" l="1"/>
  <c r="L38" i="10" l="1"/>
  <c r="G38" i="10"/>
  <c r="B7" i="10"/>
  <c r="B39" i="10"/>
  <c r="B39" i="17"/>
  <c r="B38" i="17" s="1"/>
  <c r="B7" i="17" s="1"/>
  <c r="B12" i="10" l="1"/>
  <c r="G7" i="10"/>
  <c r="G12" i="10" s="1"/>
  <c r="G13" i="10" s="1"/>
  <c r="L7" i="10"/>
  <c r="L12" i="10" s="1"/>
  <c r="L13" i="10" s="1"/>
  <c r="L39" i="10"/>
  <c r="G39" i="10"/>
  <c r="B41" i="17" l="1"/>
  <c r="V41" i="7" l="1"/>
  <c r="V42" i="7" s="1"/>
  <c r="V39" i="7"/>
  <c r="Q41" i="7"/>
  <c r="Q42" i="7" s="1"/>
  <c r="Q39" i="7"/>
  <c r="B41" i="7" l="1"/>
  <c r="B42" i="7" s="1"/>
  <c r="V22" i="7"/>
  <c r="V29" i="7" s="1"/>
  <c r="Q22" i="7"/>
  <c r="Q29" i="7" s="1"/>
  <c r="Q26" i="7" s="1"/>
  <c r="B22" i="7"/>
  <c r="B29" i="7" s="1"/>
  <c r="B26" i="7" s="1"/>
  <c r="V36" i="7" l="1"/>
  <c r="V38" i="7" s="1"/>
  <c r="V26" i="7"/>
  <c r="V25" i="7"/>
  <c r="V7" i="7"/>
  <c r="V11" i="7" s="1"/>
  <c r="V12" i="7" s="1"/>
  <c r="V27" i="7" l="1"/>
  <c r="V44" i="7" s="1"/>
  <c r="Q36" i="7"/>
  <c r="Q38" i="7" s="1"/>
  <c r="Q25" i="7"/>
  <c r="Q7" i="7"/>
  <c r="Q11" i="7" s="1"/>
  <c r="Q12" i="7" s="1"/>
  <c r="Q27" i="7" l="1"/>
  <c r="Q44" i="7" s="1"/>
  <c r="B25" i="7" l="1"/>
  <c r="B27" i="7" l="1"/>
  <c r="B39" i="7" l="1"/>
  <c r="B13" i="10" l="1"/>
  <c r="B43" i="10" s="1"/>
  <c r="B44" i="10" s="1"/>
  <c r="B35" i="17"/>
  <c r="B37" i="17" s="1"/>
  <c r="B25" i="17"/>
  <c r="B27" i="17" s="1"/>
  <c r="L37" i="7"/>
  <c r="L39" i="7" s="1"/>
  <c r="L40" i="7" s="1"/>
  <c r="G37" i="7"/>
  <c r="G39" i="7" s="1"/>
  <c r="G40" i="7" s="1"/>
  <c r="N36" i="7"/>
  <c r="I36" i="7"/>
  <c r="B36" i="7"/>
  <c r="B38" i="7" s="1"/>
  <c r="L29" i="7"/>
  <c r="G29" i="7"/>
  <c r="L25" i="7"/>
  <c r="L26" i="7" s="1"/>
  <c r="G25" i="7"/>
  <c r="G26" i="7" s="1"/>
  <c r="B7" i="7"/>
  <c r="B11" i="7" s="1"/>
  <c r="B12" i="7" s="1"/>
  <c r="L43" i="10" l="1"/>
  <c r="L44" i="10" s="1"/>
  <c r="G43" i="10"/>
  <c r="B12" i="17"/>
  <c r="B13" i="17" s="1"/>
  <c r="L9" i="7"/>
  <c r="L12" i="7" s="1"/>
  <c r="L13" i="7" s="1"/>
  <c r="L43" i="7" s="1"/>
  <c r="L41" i="7"/>
  <c r="G9" i="7"/>
  <c r="G12" i="7" s="1"/>
  <c r="G13" i="7" s="1"/>
  <c r="G43" i="7" s="1"/>
  <c r="G41" i="7"/>
  <c r="B43" i="17" l="1"/>
  <c r="B44" i="7" l="1"/>
  <c r="N46" i="35" l="1"/>
  <c r="O46" i="35" l="1"/>
  <c r="P46" i="35" s="1"/>
  <c r="Q46" i="35" s="1"/>
  <c r="R46" i="3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tc={53FFB808-F1C5-4A8D-B95E-97958ADCE866}</author>
    <author>tc={843BC937-A00B-4A3E-9E4A-B955BEEB2C19}</author>
    <author>tc={1CC7E759-ABE2-4BF2-A67D-7DC6EB90C22D}</author>
    <author>tc={E6D0CCD4-9B6A-4AFE-9BDE-368D49D101EA}</author>
    <author>tc={53723224-916F-4D58-98E1-E10BDFE2234C}</author>
    <author>tc={37656B02-F5A9-473B-971A-F0DCF70D6CEF}</author>
    <author>tc={E73E2EAF-961E-4E0B-8A95-7D3AF6460C5E}</author>
    <author>tc={06CC0F9D-805B-48C1-B8E1-8E26230EF6A9}</author>
    <author>tc={BD9F7594-1360-4E7B-8BC1-E9A44DC7274E}</author>
  </authors>
  <commentList>
    <comment ref="B37" authorId="0" shapeId="0" xr:uid="{53FFB808-F1C5-4A8D-B95E-97958ADCE866}">
      <text>
        <t>[Threaded comment]
Your version of Excel allows you to read this threaded comment; however, any edits to it will get removed if the file is opened in a newer version of Excel. Learn more: https://go.microsoft.com/fwlink/?linkid=870924
Comment:
    2.7 - CA - NV</t>
      </text>
    </comment>
    <comment ref="C37" authorId="1" shapeId="0" xr:uid="{843BC937-A00B-4A3E-9E4A-B955BEEB2C19}">
      <text>
        <t>[Threaded comment]
Your version of Excel allows you to read this threaded comment; however, any edits to it will get removed if the file is opened in a newer version of Excel. Learn more: https://go.microsoft.com/fwlink/?linkid=870924
Comment:
    CAP 100,000 + Tribal 85,000</t>
      </text>
    </comment>
    <comment ref="B38" authorId="2" shapeId="0" xr:uid="{1CC7E759-ABE2-4BF2-A67D-7DC6EB90C22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what's required to allow over 150,000 of creation in 2022</t>
      </text>
    </comment>
    <comment ref="C38" authorId="3" shapeId="0" xr:uid="{E6D0CCD4-9B6A-4AFE-9BDE-368D49D101EA}">
      <text>
        <t>[Threaded comment]
Your version of Excel allows you to read this threaded comment; however, any edits to it will get removed if the file is opened in a newer version of Excel. Learn more: https://go.microsoft.com/fwlink/?linkid=870924
Comment:
    MRM Max of 300 + space for IID</t>
      </text>
    </comment>
    <comment ref="B39" authorId="4" shapeId="0" xr:uid="{53723224-916F-4D58-98E1-E10BDFE2234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2021 ICS Balance + Tributary to EC Conversion</t>
      </text>
    </comment>
    <comment ref="C39" authorId="5" shapeId="0" xr:uid="{37656B02-F5A9-473B-971A-F0DCF70D6CEF}">
      <text>
        <t>[Threaded comment]
Your version of Excel allows you to read this threaded comment; however, any edits to it will get removed if the file is opened in a newer version of Excel. Learn more: https://go.microsoft.com/fwlink/?linkid=870924
Comment:
    Demands indicate less creation space required</t>
      </text>
    </comment>
    <comment ref="B41" authorId="6" shapeId="0" xr:uid="{E73E2EAF-961E-4E0B-8A95-7D3AF6460C5E}">
      <text>
        <t>[Threaded comment]
Your version of Excel allows you to read this threaded comment; however, any edits to it will get removed if the file is opened in a newer version of Excel. Learn more: https://go.microsoft.com/fwlink/?linkid=870924
Comment:
    CA - 83 of IID EC + BCS</t>
      </text>
    </comment>
    <comment ref="B42" authorId="7" shapeId="0" xr:uid="{06CC0F9D-805B-48C1-B8E1-8E26230EF6A9}">
      <text>
        <t>[Threaded comment]
Your version of Excel allows you to read this threaded comment; however, any edits to it will get removed if the file is opened in a newer version of Excel. Learn more: https://go.microsoft.com/fwlink/?linkid=870924
Comment:
    50,000 EC</t>
      </text>
    </comment>
    <comment ref="B44" authorId="8" shapeId="0" xr:uid="{BD9F7594-1360-4E7B-8BC1-E9A44DC7274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2022 Tribal Balance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tc={D4C7AFF3-77E5-4DC6-B1C9-6B23DD4D523B}</author>
    <author>tc={682AD229-0376-4127-87B5-7140074220BE}</author>
    <author>tc={782B9895-5A30-4A1C-9F8E-FB2BF12BCEA6}</author>
    <author>tc={B9934DFF-8139-4EF2-8E6E-C63A911BDFC6}</author>
    <author>LCB</author>
    <author>Tighi, Shana G</author>
    <author>tc={8A2539FE-6C81-4675-B775-04A8143A88B6}</author>
    <author>tc={8B2340E1-BB7D-4A6C-950A-22ADA02A447A}</author>
    <author>tc={9047CA8C-81CC-4202-BDF1-75F0C078645E}</author>
    <author>tc={21FC522F-6C9D-437E-AB9E-8F79AB3A8B64}</author>
    <author>tc={57074EC0-5351-4E50-B576-E1B476A6B395}</author>
    <author>tc={55418EAA-A989-4258-BA0A-BC59DC06526F}</author>
    <author>tc={E0780162-E166-4698-A113-2E98C25320A5}</author>
    <author>tc={ADD78F21-2EC0-4A45-A48B-A300C6BA4592}</author>
    <author>tc={CBAD8737-32F6-4EEA-97DA-5339C6F51AC7}</author>
    <author>tc={847116CF-89D0-4C2F-A9A6-EB9535B3F2F9}</author>
  </authors>
  <commentList>
    <comment ref="L6" authorId="0" shapeId="0" xr:uid="{D4C7AFF3-77E5-4DC6-B1C9-6B23DD4D523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EC ICS that did NOT get converted to DCP ICS</t>
      </text>
    </comment>
    <comment ref="L11" authorId="1" shapeId="0" xr:uid="{682AD229-0376-4127-87B5-71400742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20" authorId="2" shapeId="0" xr:uid="{782B9895-5A30-4A1C-9F8E-FB2BF12BCEA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21" authorId="3" shapeId="0" xr:uid="{B9934DFF-8139-4EF2-8E6E-C63A911BDFC6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5/3</t>
      </text>
    </comment>
    <comment ref="L24" authorId="4" shapeId="0" xr:uid="{A04884E8-0448-4A34-BEF4-0D793DC9796A}">
      <text>
        <r>
          <rPr>
            <b/>
            <sz val="9"/>
            <color indexed="81"/>
            <rFont val="Tahoma"/>
            <family val="2"/>
          </rPr>
          <t>LCB:</t>
        </r>
        <r>
          <rPr>
            <sz val="9"/>
            <color indexed="81"/>
            <rFont val="Tahoma"/>
            <family val="2"/>
          </rPr>
          <t xml:space="preserve">
Total ICS creation was 57,832 but had to subtract 8000 af for what counts towards 500+ because DCP &amp; Shortage don't count</t>
        </r>
      </text>
    </comment>
    <comment ref="M24" authorId="5" shapeId="0" xr:uid="{0DAD851F-E9AE-4352-AD80-4E3ADB14B9AA}">
      <text>
        <r>
          <rPr>
            <b/>
            <sz val="9"/>
            <color indexed="81"/>
            <rFont val="Tahoma"/>
            <family val="2"/>
          </rPr>
          <t>LCB:
Total ICS creation was 63,330 but had to subtract 8000 af for what counts towards 500+ because DCP &amp; Shortage don't count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6" shapeId="0" xr:uid="{8A2539FE-6C81-4675-B775-04A8143A88B6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192 kaf since NV's DCP contribution is for a conversion of EC ICS with no additional reduction in CU?</t>
      </text>
    </comment>
    <comment ref="F30" authorId="7" shapeId="0" xr:uid="{8B2340E1-BB7D-4A6C-950A-22ADA02A447A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192 kaf since NV's DCP contribution is for a conversion of EC ICS with no additional reduction in CU?</t>
      </text>
    </comment>
    <comment ref="L35" authorId="8" shapeId="0" xr:uid="{9047CA8C-81CC-4202-BDF1-75F0C078645E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the 3099 delivery need to be accounted for here?</t>
      </text>
    </comment>
    <comment ref="L40" authorId="9" shapeId="0" xr:uid="{21FC522F-6C9D-437E-AB9E-8F79AB3A8B64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49" authorId="10" shapeId="0" xr:uid="{57074EC0-5351-4E50-B576-E1B476A6B395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50" authorId="11" shapeId="0" xr:uid="{55418EAA-A989-4258-BA0A-BC59DC06526F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64" authorId="12" shapeId="0" xr:uid="{E0780162-E166-4698-A113-2E98C25320A5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the 3099 delivery need to be accounted for here?</t>
      </text>
    </comment>
    <comment ref="L69" authorId="13" shapeId="0" xr:uid="{ADD78F21-2EC0-4A45-A48B-A300C6BA4592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78" authorId="14" shapeId="0" xr:uid="{CBAD8737-32F6-4EEA-97DA-5339C6F51AC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  <comment ref="L79" authorId="15" shapeId="0" xr:uid="{847116CF-89D0-4C2F-A9A6-EB9535B3F2F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estimate from WA as of 4/5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<sst xmlns="http://schemas.openxmlformats.org/spreadsheetml/2006/main" count="2562" uniqueCount="591">
  <si>
    <t>California</t>
  </si>
  <si>
    <t>Arizona</t>
  </si>
  <si>
    <t>Nevada</t>
  </si>
  <si>
    <t>Basic apportionment</t>
  </si>
  <si>
    <t>ICS take (MWD)</t>
  </si>
  <si>
    <t>Values in AF</t>
  </si>
  <si>
    <t>Notes</t>
  </si>
  <si>
    <t>Estimated adjusted apportionment</t>
  </si>
  <si>
    <t>Projected state total</t>
  </si>
  <si>
    <t>Extraordinary Conservation ICS create (MWD)</t>
  </si>
  <si>
    <t>Extraordinary Conservation ICS create (IID)</t>
  </si>
  <si>
    <t>Payback obligation(s)</t>
  </si>
  <si>
    <t>Projected state unused/overrun</t>
  </si>
  <si>
    <t>Based on estimated volume of unused provided by SNWA.</t>
  </si>
  <si>
    <t>Estimated volume to be stored by MWD.</t>
  </si>
  <si>
    <t>Storage of NV unused (MWD)</t>
  </si>
  <si>
    <t>Storage of NV unused (CAP)</t>
  </si>
  <si>
    <t xml:space="preserve">     Unused - interstate banking</t>
  </si>
  <si>
    <t xml:space="preserve">     Unused - left in system</t>
  </si>
  <si>
    <t>ICS take</t>
  </si>
  <si>
    <r>
      <t>Projected Lower Basin total</t>
    </r>
    <r>
      <rPr>
        <sz val="11"/>
        <color theme="1"/>
        <rFont val="Calibri"/>
        <family val="2"/>
        <scheme val="minor"/>
      </rPr>
      <t xml:space="preserve"> (U.S. contractors only)</t>
    </r>
  </si>
  <si>
    <t>Estimated payback(s)</t>
  </si>
  <si>
    <t>Total Tributary Conservation and Imported ICS create</t>
  </si>
  <si>
    <t>DSS take during shortage</t>
  </si>
  <si>
    <t>Estimated volume of ICS creation provided by SNWA.</t>
  </si>
  <si>
    <t>Estimated paybacks from Cocopah and Beattie Farms.</t>
  </si>
  <si>
    <t>The method of the Salton Sea payback is uncertain at this time</t>
  </si>
  <si>
    <t>Based on IID's approved plan; confirmed by IID.</t>
  </si>
  <si>
    <t xml:space="preserve">Based on estimated total consevation by CAP. </t>
  </si>
  <si>
    <t>Pilot Fallowing Program</t>
  </si>
  <si>
    <t xml:space="preserve">System Conservation </t>
  </si>
  <si>
    <t>Based on MWD target diversion of 1.19 MAF</t>
  </si>
  <si>
    <t>Assumed ICS take to get MWD to 1.2MAF</t>
  </si>
  <si>
    <t>Estimated volume to be stored by MWD</t>
  </si>
  <si>
    <t>MWD - Storage of NV unused</t>
  </si>
  <si>
    <t>CAP - Storage of NV unused</t>
  </si>
  <si>
    <t>MWD - ICS (delivery or creation)</t>
  </si>
  <si>
    <t>IID - ICS (delivery or creation)</t>
  </si>
  <si>
    <t>Estimated payback</t>
  </si>
  <si>
    <t>CAP - ICS (delivery or creation)</t>
  </si>
  <si>
    <t>Modeled CA state total</t>
  </si>
  <si>
    <t>Estimated CA adjusted apportionment</t>
  </si>
  <si>
    <t>Estimated AZ adjusted apportionment</t>
  </si>
  <si>
    <t>Modeled AZ state total</t>
  </si>
  <si>
    <t>SNWA - Estimated unused</t>
  </si>
  <si>
    <t>Estimated NV adjusted apportionment</t>
  </si>
  <si>
    <t>Modeled NV state total</t>
  </si>
  <si>
    <t xml:space="preserve">     PSCP water - left in system</t>
  </si>
  <si>
    <t>IID's Salton Sea payback is uncertain at this time</t>
  </si>
  <si>
    <t>Projected Lower Basin Use (U.S. contractors only)</t>
  </si>
  <si>
    <t>Most Probable Inflow</t>
  </si>
  <si>
    <t>Operating Condition - ICS Surplus</t>
  </si>
  <si>
    <t>SNWA - ICS delivery</t>
  </si>
  <si>
    <t>DSS taken during shortage</t>
  </si>
  <si>
    <t xml:space="preserve">     ICS creation - left in system</t>
  </si>
  <si>
    <t>Minimum Probable Inflow</t>
  </si>
  <si>
    <t>Calendar Year 2016 Water Use Projections</t>
  </si>
  <si>
    <t>Maximum Probable Inflow</t>
  </si>
  <si>
    <t>MOU protection volume</t>
  </si>
  <si>
    <t>Calendar Year 2017 Water Use Projections</t>
  </si>
  <si>
    <t>Calendar Year 2019 Water Use Projections</t>
  </si>
  <si>
    <t>Based on anticipated ICS plan</t>
  </si>
  <si>
    <t>Estimated unused provided by SNWA</t>
  </si>
  <si>
    <t>CAP - Estimated conservation</t>
  </si>
  <si>
    <t>Based on IID's submitted plan</t>
  </si>
  <si>
    <t>Fort McDowell contribution of MOU protection volume</t>
  </si>
  <si>
    <t>CAP PSCP</t>
  </si>
  <si>
    <t>Shortage volume</t>
  </si>
  <si>
    <t xml:space="preserve">Estimated volume from Pilot Fallowing Program (Yuma Mesa) </t>
  </si>
  <si>
    <t>Estimated (computed) additional conservation volume based on 4/6 schedule provided by CAP</t>
  </si>
  <si>
    <t>CAP target diversion is 1.5 maf, modeled diversion is 1.491 maf</t>
  </si>
  <si>
    <t>TON, CRIT &amp; GRIC PSCP</t>
  </si>
  <si>
    <t>MSelig 10/6/16 Phase 2 PSCP</t>
  </si>
  <si>
    <t>Based on PSCP agreements signed on June 4 and September 2016</t>
  </si>
  <si>
    <t>Estimated volume of AZ unused left in Mead provided by CAP 4/6/16 plus Phase 2 PSCP</t>
  </si>
  <si>
    <t>Estimated volume of ICS creation (30,000 af) less water conserved under the PSCP Phase 1 amd 2 (7,715 af)</t>
  </si>
  <si>
    <r>
      <t>N</t>
    </r>
    <r>
      <rPr>
        <sz val="10"/>
        <rFont val="Calibri"/>
        <family val="2"/>
        <scheme val="minor"/>
      </rPr>
      <t>o ICS delivery, target diversion of 962 k</t>
    </r>
    <r>
      <rPr>
        <sz val="10"/>
        <color theme="1"/>
        <rFont val="Calibri"/>
        <family val="2"/>
        <scheme val="minor"/>
      </rPr>
      <t>af (They are being modeled to divert</t>
    </r>
    <r>
      <rPr>
        <sz val="10"/>
        <rFont val="Calibri"/>
        <family val="2"/>
        <scheme val="minor"/>
      </rPr>
      <t xml:space="preserve"> 1.002 maf)</t>
    </r>
  </si>
  <si>
    <t>CAP target diversion is 1.5 maf, modeled diversion is 1.478 maf</t>
  </si>
  <si>
    <t>Based on email to Water Accounting from Autumn Plourd</t>
  </si>
  <si>
    <r>
      <t>N</t>
    </r>
    <r>
      <rPr>
        <sz val="10"/>
        <rFont val="Calibri"/>
        <family val="2"/>
        <scheme val="minor"/>
      </rPr>
      <t>o ICS delivery, target diversion of 982 k</t>
    </r>
    <r>
      <rPr>
        <sz val="10"/>
        <color theme="1"/>
        <rFont val="Calibri"/>
        <family val="2"/>
        <scheme val="minor"/>
      </rPr>
      <t>af (They are being modeled to divert</t>
    </r>
    <r>
      <rPr>
        <sz val="10"/>
        <rFont val="Calibri"/>
        <family val="2"/>
        <scheme val="minor"/>
      </rPr>
      <t xml:space="preserve"> 998 kaf)</t>
    </r>
  </si>
  <si>
    <t xml:space="preserve">CAP target diversion is 1.5 maf, modeled diversion is 1.490 maf </t>
  </si>
  <si>
    <t xml:space="preserve">Estimated volume of AZ unused left in Mead provided by CAP 4/6/16 plus Phase 2 PSCP </t>
  </si>
  <si>
    <t>(Minus difference in Dec operational schedule of 9,703 af)</t>
  </si>
  <si>
    <t>SNWA annual diversion of 247 kaf</t>
  </si>
  <si>
    <t>ist</t>
  </si>
  <si>
    <t>GRIC System Conservation</t>
  </si>
  <si>
    <t>CAP - Voluntary Conservation</t>
  </si>
  <si>
    <t>Projected ICS creation based on conversation with IID on 10/6/17</t>
  </si>
  <si>
    <t>Operating Condition - Normal/ICS Surplus</t>
  </si>
  <si>
    <t>TON (10,080); Bullhead City (550); CRIT PSCP (8,572)</t>
  </si>
  <si>
    <t>PSCP (Coachella and Needles)</t>
  </si>
  <si>
    <t xml:space="preserve">Estimated ICS creation </t>
  </si>
  <si>
    <t>PSCP (TON, BHC, and CRIT)</t>
  </si>
  <si>
    <t>Projected Operating Condition - Normal/ICS Surplus</t>
  </si>
  <si>
    <t>CAP annual diversion of 1.395 maf</t>
  </si>
  <si>
    <t>ICS creation based on MWD guidance. MWD annual diversion = 651 kaf</t>
  </si>
  <si>
    <t>Based on projected space in IID ICS Bank</t>
  </si>
  <si>
    <t>ICS creation based on MWD guidance. MWD annual diversion = 678 kaf</t>
  </si>
  <si>
    <t>CAP annual diversion of 1.420 maf</t>
  </si>
  <si>
    <t>Estimated unused based on number provided by SNWA, but updated to reflect realtime schedules and uses</t>
  </si>
  <si>
    <t>SNWA annual diversion of 241 kaf</t>
  </si>
  <si>
    <t>PSCP (Coachella, Needles, and Bard)</t>
  </si>
  <si>
    <t xml:space="preserve"> </t>
  </si>
  <si>
    <t>PSCP (BHC 2)</t>
  </si>
  <si>
    <t>Shortage Volume</t>
  </si>
  <si>
    <t>PSCP (Needles)</t>
  </si>
  <si>
    <t>PSCP (BHC 1&amp;2, FMYN, CRIT)</t>
  </si>
  <si>
    <t>Probable Minimum Inflow</t>
  </si>
  <si>
    <t>Probable Maximum Inflow</t>
  </si>
  <si>
    <t>Estimated Water Left in Mead</t>
  </si>
  <si>
    <t>DCP Contribution</t>
  </si>
  <si>
    <t>AZ - ICS (delivery or creation)</t>
  </si>
  <si>
    <t>SNWA - ICS creation or delivery</t>
  </si>
  <si>
    <t>AZ - System Water</t>
  </si>
  <si>
    <t>CRIT</t>
  </si>
  <si>
    <t>SNWA - ICS delivery or creation</t>
  </si>
  <si>
    <t>MWD modled diversion of 518 KAF based on max ICS creation</t>
  </si>
  <si>
    <t>ICS delivery based on max ICS creation</t>
  </si>
  <si>
    <t>MWD modled diversion of 533 KAF based on max ICS creation</t>
  </si>
  <si>
    <t>CAP annual diversion of 1.439 maf</t>
  </si>
  <si>
    <t>SNWA annual use of 237 kaf</t>
  </si>
  <si>
    <t>ICS creation based on max CA creation of 400 KAF</t>
  </si>
  <si>
    <t>ICS creation from NV not being used</t>
  </si>
  <si>
    <t>approx 17 KAF (125 KAF - 58 KAF from NV - 50 KAF AZ) of</t>
  </si>
  <si>
    <t>Actually modeled:</t>
  </si>
  <si>
    <t>Note: 65.6 KAF underrun, leaves water for potential ICS or sys water?</t>
  </si>
  <si>
    <t>CA</t>
  </si>
  <si>
    <t>NV</t>
  </si>
  <si>
    <t>AZ</t>
  </si>
  <si>
    <t>CAWCD ICS creation/delivery</t>
  </si>
  <si>
    <r>
      <t xml:space="preserve">Estimated AZ adjusted apportionment for Model Input </t>
    </r>
    <r>
      <rPr>
        <b/>
        <sz val="9"/>
        <color rgb="FFFF0000"/>
        <rFont val="Arial"/>
        <family val="2"/>
      </rPr>
      <t>Outyears</t>
    </r>
  </si>
  <si>
    <r>
      <t xml:space="preserve">Modeled AZ state total for Model Input </t>
    </r>
    <r>
      <rPr>
        <b/>
        <sz val="9"/>
        <color rgb="FFFF0000"/>
        <rFont val="Arial"/>
        <family val="2"/>
      </rPr>
      <t>Year 1</t>
    </r>
  </si>
  <si>
    <t>Shortage volume (IF YEAR 1)</t>
  </si>
  <si>
    <t>Shortage Volume if Outyear</t>
  </si>
  <si>
    <t>Mexico Use</t>
  </si>
  <si>
    <t>Total Basin Use</t>
  </si>
  <si>
    <t>Powell</t>
  </si>
  <si>
    <t>Mead</t>
  </si>
  <si>
    <t>MWD</t>
  </si>
  <si>
    <t>IID</t>
  </si>
  <si>
    <t>GRIC</t>
  </si>
  <si>
    <t>MVIDD</t>
  </si>
  <si>
    <t>CAWCD</t>
  </si>
  <si>
    <t>CA Total</t>
  </si>
  <si>
    <t>AZ Total</t>
  </si>
  <si>
    <t>SNWA EC</t>
  </si>
  <si>
    <t>Tributary Conversion to EC</t>
  </si>
  <si>
    <t>Total EC Creation through Conservation</t>
  </si>
  <si>
    <t>2021 Total EC ICS Creation</t>
  </si>
  <si>
    <t>2022 Total EC ICS Creation</t>
  </si>
  <si>
    <t>shortage volume</t>
  </si>
  <si>
    <t>MOST PROBABLE - ORIGINAL</t>
  </si>
  <si>
    <t>CRIT ICS</t>
  </si>
  <si>
    <t>MAX PROBABLE - ORIGINAL</t>
  </si>
  <si>
    <t>MIN PROBABLE - ORIGINAL</t>
  </si>
  <si>
    <t>Calendar Year 2023 Water Use Projections</t>
  </si>
  <si>
    <t>2023 Total EC ICS Creation</t>
  </si>
  <si>
    <t>MWD (Delivery)</t>
  </si>
  <si>
    <t>AZ DCP</t>
  </si>
  <si>
    <t>AZ ICS Bank</t>
  </si>
  <si>
    <t>AZ Total Creation</t>
  </si>
  <si>
    <t>AZ EC Balance</t>
  </si>
  <si>
    <t>AZ BICS Creation</t>
  </si>
  <si>
    <t>AZ BICS Balance</t>
  </si>
  <si>
    <t>ARIZONA</t>
  </si>
  <si>
    <t>AZ DCP Balance</t>
  </si>
  <si>
    <t>2020 ICS Estimates</t>
  </si>
  <si>
    <t>delivery of 69,100</t>
  </si>
  <si>
    <t>(creation 60.5 kaf DCP and delivery of 69.1 kaf Shortage)</t>
  </si>
  <si>
    <t>Delivery of:</t>
  </si>
  <si>
    <t>Used in March 24-Month Studies</t>
  </si>
  <si>
    <t>Paper water conversion of -8000 AF DCP</t>
  </si>
  <si>
    <t>reflected as a decrease in ICS creation - no impact to diversion</t>
  </si>
  <si>
    <t>Projected Operating Condition - Level 2 Shortage</t>
  </si>
  <si>
    <t>Total</t>
  </si>
  <si>
    <t>System Conservation</t>
  </si>
  <si>
    <t>PVID Fallowing</t>
  </si>
  <si>
    <t>CAWCD (EC + DCP)</t>
  </si>
  <si>
    <t>Total ICS Creation through Conservation</t>
  </si>
  <si>
    <t>Max Capacity</t>
  </si>
  <si>
    <t>Max Creation</t>
  </si>
  <si>
    <t>Max Delivery</t>
  </si>
  <si>
    <t>1000 acre-ft</t>
  </si>
  <si>
    <t>0: Arizona</t>
  </si>
  <si>
    <t>1: California</t>
  </si>
  <si>
    <t>2: Nevada</t>
  </si>
  <si>
    <t>3: Mexico</t>
  </si>
  <si>
    <t>4: MWD</t>
  </si>
  <si>
    <t>NaN</t>
  </si>
  <si>
    <t>5: IID</t>
  </si>
  <si>
    <t>6: CAWCD</t>
  </si>
  <si>
    <t>7: AZTribal</t>
  </si>
  <si>
    <t>ESP MeadBankParameters</t>
  </si>
  <si>
    <t>MOST</t>
  </si>
  <si>
    <t>MIN</t>
  </si>
  <si>
    <t>MAX</t>
  </si>
  <si>
    <t>Volume Reduction Below Hoover</t>
  </si>
  <si>
    <t>Available Volume below 845 KAF</t>
  </si>
  <si>
    <t xml:space="preserve">   --Subject to change, based on review as part of 1030 modeling efforts</t>
  </si>
  <si>
    <t>Project</t>
  </si>
  <si>
    <t>State</t>
  </si>
  <si>
    <t>24-Month Study</t>
  </si>
  <si>
    <t>CAWCD ICS</t>
  </si>
  <si>
    <t>CRIT System Conservation Water</t>
  </si>
  <si>
    <t>CRIT ICS to System Conservation</t>
  </si>
  <si>
    <t>GRIC ICS</t>
  </si>
  <si>
    <t>BHC PSCP</t>
  </si>
  <si>
    <t>GRIC System Conservation Water</t>
  </si>
  <si>
    <t>MVIDD System Conservation Water</t>
  </si>
  <si>
    <t>FMYN System Conservation Water</t>
  </si>
  <si>
    <t>MWD ICS</t>
  </si>
  <si>
    <t>IID ICS</t>
  </si>
  <si>
    <t>Needles PSCP</t>
  </si>
  <si>
    <t xml:space="preserve">PVID System Conservation Water </t>
  </si>
  <si>
    <t>SNWA ICS</t>
  </si>
  <si>
    <t>SNWA Tributary Conservation ICS</t>
  </si>
  <si>
    <t>LB Total (Non-Shrt/DCP)</t>
  </si>
  <si>
    <t>LB</t>
  </si>
  <si>
    <t>LB Shortage</t>
  </si>
  <si>
    <t>Table for Water Use Assumptions</t>
  </si>
  <si>
    <t>LB DCP</t>
  </si>
  <si>
    <t>LB Total</t>
  </si>
  <si>
    <t>AZ Total (Non-Shrt/DCP)</t>
  </si>
  <si>
    <t>CA Total (Non-Shrt/DCP)</t>
  </si>
  <si>
    <t>Total (Non-Shortage/DCP)</t>
  </si>
  <si>
    <t>Cumulative</t>
  </si>
  <si>
    <t>NV Total (Non-Shrt/DCP)</t>
  </si>
  <si>
    <t xml:space="preserve">   --Most Probable</t>
  </si>
  <si>
    <t xml:space="preserve">   -- Probable Minimum</t>
  </si>
  <si>
    <t xml:space="preserve">   -- Probable Maximum</t>
  </si>
  <si>
    <t>500 + Plan Goal</t>
  </si>
  <si>
    <t>Increase needed to achieve goal (Most Probable)</t>
  </si>
  <si>
    <t>CAP ICS delivery offset</t>
  </si>
  <si>
    <t>MWD ICS delivery offset and/or creation</t>
  </si>
  <si>
    <t xml:space="preserve">PVID System Conservation </t>
  </si>
  <si>
    <t>SNWA ICS creation</t>
  </si>
  <si>
    <t>CRIT System Conservation (in lieu of ICS)</t>
  </si>
  <si>
    <t>GRIC ICS creation</t>
  </si>
  <si>
    <t>Conservation Activity (volumes in AF)</t>
  </si>
  <si>
    <t>2023 (Projected)</t>
  </si>
  <si>
    <t>Calendar Year 2024 Water Use Projections</t>
  </si>
  <si>
    <t>reflected as a decrease in ICS creation - when bank is full, impact to diversion as reduction in taking ICS</t>
  </si>
  <si>
    <t>242 wellfield</t>
  </si>
  <si>
    <t>Powell Physical Storage</t>
  </si>
  <si>
    <t>Powell Effective Storage</t>
  </si>
  <si>
    <t>Mead Effective Storage</t>
  </si>
  <si>
    <t>Mead Physical Storage</t>
  </si>
  <si>
    <t>Diff - Physical Storage</t>
  </si>
  <si>
    <t>Diff - Effective Storage</t>
  </si>
  <si>
    <t>CAWCD System Conservation Water</t>
  </si>
  <si>
    <t>CAWCD System Conservation</t>
  </si>
  <si>
    <t>MVIDD System Conservation</t>
  </si>
  <si>
    <t>Paper water conversion of -8,000 AF DCP</t>
  </si>
  <si>
    <t>Baseline - Based on June 2021 24-Month Study Assumptions</t>
  </si>
  <si>
    <t>YMIDD System Conservation Water</t>
  </si>
  <si>
    <t>YMIDD System Conservation</t>
  </si>
  <si>
    <t xml:space="preserve">Projected Operating Condition - Level 2 Shortage </t>
  </si>
  <si>
    <t>Projected Operating Condition - Level 2 Shortage (1045-1050)</t>
  </si>
  <si>
    <t>Tier Determination Elev</t>
  </si>
  <si>
    <t>Physical Elevation</t>
  </si>
  <si>
    <t>Effective Elevation</t>
  </si>
  <si>
    <t>Estimated AZ adjusted apportionment for Model Input Outyears</t>
  </si>
  <si>
    <t>2022 (Provisional)</t>
  </si>
  <si>
    <t>Calendar Year 2025 Water Use Projections</t>
  </si>
  <si>
    <t>Nevada shortage volume</t>
  </si>
  <si>
    <t>Shortage Reduction</t>
  </si>
  <si>
    <t>CVWD System Conservation</t>
  </si>
  <si>
    <t>Projected Operating Condition - Level 1 Shortage (1050-1075)</t>
  </si>
  <si>
    <t>ICS bank full. This volume needs to be vacated.</t>
  </si>
  <si>
    <t>Tributary conservation - due to full bank modeled as system water (30 kaf)</t>
  </si>
  <si>
    <t>Gabrych System Conservation Water</t>
  </si>
  <si>
    <t>Gabrych System Conservation</t>
  </si>
  <si>
    <t>FMYN System Conservation</t>
  </si>
  <si>
    <t>IID System Conservation</t>
  </si>
  <si>
    <t>Intended Tributary Vacated Due to full bank</t>
  </si>
  <si>
    <t xml:space="preserve">Modeled NV state total for Input </t>
  </si>
  <si>
    <t>Status</t>
  </si>
  <si>
    <t>Total $</t>
  </si>
  <si>
    <t>$/AF</t>
  </si>
  <si>
    <t>Total AF</t>
  </si>
  <si>
    <t>Technical information to be developed for on-farm efficiency activity that CVWD will use as well as fallowing.</t>
  </si>
  <si>
    <t>CVWD Fallowing</t>
  </si>
  <si>
    <t>23-XX-30-W0783</t>
  </si>
  <si>
    <t>Quechan</t>
  </si>
  <si>
    <t>TBD</t>
  </si>
  <si>
    <t>23-XX-30-W0773</t>
  </si>
  <si>
    <t>23-Xx-30-W0779</t>
  </si>
  <si>
    <t>Hopi</t>
  </si>
  <si>
    <t>IID 2023-2026</t>
  </si>
  <si>
    <t>23-XX-30-W0771</t>
  </si>
  <si>
    <t>CVIDD</t>
  </si>
  <si>
    <t>23-XX-30-W0769</t>
  </si>
  <si>
    <t>YMIDD</t>
  </si>
  <si>
    <t>23-XX-30-W0776</t>
  </si>
  <si>
    <t>Cathcart</t>
  </si>
  <si>
    <t>23-XX-30-W0764</t>
  </si>
  <si>
    <t>CVWD Grd Wtr Replnt</t>
  </si>
  <si>
    <t>23-XX-30-W0770</t>
  </si>
  <si>
    <t>23-XX-30-W0774</t>
  </si>
  <si>
    <t>PXAO developing a firming agreement with TON instead of a SCIA.</t>
  </si>
  <si>
    <t>23-XX-30-W0751</t>
  </si>
  <si>
    <t>TON</t>
  </si>
  <si>
    <t>23-XX-30-W0765</t>
  </si>
  <si>
    <t>SCAT</t>
  </si>
  <si>
    <t>Executed April 6</t>
  </si>
  <si>
    <t>23-XX-30-W0760</t>
  </si>
  <si>
    <t>Executed March 10</t>
  </si>
  <si>
    <t>23-XX-30-W0750</t>
  </si>
  <si>
    <t>FMYN</t>
  </si>
  <si>
    <t>Executed May 24</t>
  </si>
  <si>
    <t>23-XX-30-W0756</t>
  </si>
  <si>
    <t>Tucson</t>
  </si>
  <si>
    <t>23-XX-30-W0755</t>
  </si>
  <si>
    <t>Scottsdale</t>
  </si>
  <si>
    <t>23-XX-30-W0754</t>
  </si>
  <si>
    <t>Phoenix</t>
  </si>
  <si>
    <t>Executed May 26</t>
  </si>
  <si>
    <t>23-XX-30-W0753</t>
  </si>
  <si>
    <t>Peoria</t>
  </si>
  <si>
    <t>23-XX-30-W0757</t>
  </si>
  <si>
    <t xml:space="preserve">Metro Water Dist </t>
  </si>
  <si>
    <t>23-XX-30-W0778</t>
  </si>
  <si>
    <t>Glendale</t>
  </si>
  <si>
    <t>23-XX-30-W0759</t>
  </si>
  <si>
    <t>Gilbert</t>
  </si>
  <si>
    <t>23-XX-30-W0752</t>
  </si>
  <si>
    <t>ASARCO</t>
  </si>
  <si>
    <t>CY 2025</t>
  </si>
  <si>
    <t>CY 2024</t>
  </si>
  <si>
    <t>CY 2023</t>
  </si>
  <si>
    <t>Contract Number</t>
  </si>
  <si>
    <t>Contractor</t>
  </si>
  <si>
    <t>No.</t>
  </si>
  <si>
    <t>AZ-CAWCD</t>
  </si>
  <si>
    <t>AZ-Tribe</t>
  </si>
  <si>
    <t>AZ-Other</t>
  </si>
  <si>
    <t>No</t>
  </si>
  <si>
    <t>Yes</t>
  </si>
  <si>
    <t>Modeled</t>
  </si>
  <si>
    <t>CY2023</t>
  </si>
  <si>
    <t>CY2024</t>
  </si>
  <si>
    <t>CY2025</t>
  </si>
  <si>
    <t>242 Wellfield</t>
  </si>
  <si>
    <t>See System Conservation tab</t>
  </si>
  <si>
    <t>MX BNWSCP contribution of 30 KAF and shortage assessment of 70 KAF Water Reserve creation of 17302 AF</t>
  </si>
  <si>
    <t>ICS converted to system water due to full bank</t>
  </si>
  <si>
    <t>Executed July 6</t>
  </si>
  <si>
    <t>Executed June 28</t>
  </si>
  <si>
    <t>Executed June 21</t>
  </si>
  <si>
    <t>Executed July 3</t>
  </si>
  <si>
    <t>Executed July 5</t>
  </si>
  <si>
    <t>PVID Fallowing + See system conservation tab</t>
  </si>
  <si>
    <t>Executed July 10</t>
  </si>
  <si>
    <t>Executed June 6</t>
  </si>
  <si>
    <t>ICS delivered due to full bank</t>
  </si>
  <si>
    <t>Tributary creation post tax</t>
  </si>
  <si>
    <t>Nevada Shortage Volume</t>
  </si>
  <si>
    <t>Tributary Conservation</t>
  </si>
  <si>
    <t>SNWA - ICS creation</t>
  </si>
  <si>
    <t>SNWA - ICS Creation</t>
  </si>
  <si>
    <t>Based on July 2023 24-Month Study Assumptions</t>
  </si>
  <si>
    <t>Difference: APR23 minus JUL21</t>
  </si>
  <si>
    <t>Executed July 18</t>
  </si>
  <si>
    <t>Executed July 24</t>
  </si>
  <si>
    <t>Shortage of 17 kaf.</t>
  </si>
  <si>
    <t>Shortage of 13 kaf</t>
  </si>
  <si>
    <t>NV demand 231000</t>
  </si>
  <si>
    <t>Delivery of 40 kaf (tribal)</t>
  </si>
  <si>
    <t xml:space="preserve">192 kaf DCP contribution with 13.014 kaf DCP ICS </t>
  </si>
  <si>
    <t>Spanish Trail Water Company</t>
  </si>
  <si>
    <t>SCIA sent to Spanish Trail for review July 18.  Spanish Trail has indicated it concurs with the SCIA and has no comments or changes.</t>
  </si>
  <si>
    <t>Executed August 16</t>
  </si>
  <si>
    <t xml:space="preserve">     ICS converted to system water due to full bank</t>
  </si>
  <si>
    <t>DCP ICS to system water being converted</t>
  </si>
  <si>
    <t>192 kaf DCP contribution (No ICS due to full bank)</t>
  </si>
  <si>
    <t>California- Water left in Mead</t>
  </si>
  <si>
    <t>Based on MWD reaching ICS creation limits</t>
  </si>
  <si>
    <t>CAP annual diversion of 851 kaf</t>
  </si>
  <si>
    <t>MWD annual diversion = 680 kaf</t>
  </si>
  <si>
    <t>PVID Fallowing and CVWD</t>
  </si>
  <si>
    <t>Tributary conservation - left in system</t>
  </si>
  <si>
    <t>DCP ICS of 22,400+ECICS of 127,690+82,800 Intended ECICS creation</t>
  </si>
  <si>
    <t xml:space="preserve">   Tributary conservation - left in system</t>
  </si>
  <si>
    <t>SNWA annual use of 186 kaf</t>
  </si>
  <si>
    <t>NV demand 191000</t>
  </si>
  <si>
    <t>CAP System Conservation Agreements</t>
  </si>
  <si>
    <t>Fort McDowell Yavapai Nation System Conservation</t>
  </si>
  <si>
    <t>San Carlos Apache Tribe System Conservation</t>
  </si>
  <si>
    <t>Coachella Groundwater System Conservation</t>
  </si>
  <si>
    <t>Cibola Valley IDD System Conservation</t>
  </si>
  <si>
    <t>Pilot System Conservation Program</t>
  </si>
  <si>
    <t>Cumulative Total</t>
  </si>
  <si>
    <t>Annual Total (Non-Shortage/DCP)</t>
  </si>
  <si>
    <t>Executed October 27</t>
  </si>
  <si>
    <t>DCP ICS of 22,400+ECICS of 127,690</t>
  </si>
  <si>
    <t>92,000 AF intended ICS becomes system water due to full bank</t>
  </si>
  <si>
    <t>Executed TBD</t>
  </si>
  <si>
    <t>PVID</t>
  </si>
  <si>
    <t>Executed</t>
  </si>
  <si>
    <t>CAP annual diversion of 831 kaf</t>
  </si>
  <si>
    <t>Delivery of 32.1 kaf ICS</t>
  </si>
  <si>
    <t>CAP annual diversion of 0.831 maf</t>
  </si>
  <si>
    <t>MWD annual diversion = 663.6 kaf</t>
  </si>
  <si>
    <t xml:space="preserve">MWD annual Diversion = 664 kaf. </t>
  </si>
  <si>
    <t>Conservation Activity (AF)</t>
  </si>
  <si>
    <t>Quechan Tribe, MWD, and US intend to execute SCIA at CRWUA.</t>
  </si>
  <si>
    <t>intended EC ICS creation delivered due to full ICS banks</t>
  </si>
  <si>
    <t>Delivery of 28.1 kaf ICS</t>
  </si>
  <si>
    <r>
      <t xml:space="preserve">Estimated AZ adjusted apportionment for Model Input </t>
    </r>
    <r>
      <rPr>
        <b/>
        <sz val="9"/>
        <rFont val="Arial"/>
        <family val="2"/>
      </rPr>
      <t>Outyears</t>
    </r>
  </si>
  <si>
    <t>Modeled AZ state total for year 1</t>
  </si>
  <si>
    <t>system water</t>
  </si>
  <si>
    <t xml:space="preserve">Intended ICS creation delivered due to full bank </t>
  </si>
  <si>
    <t>existing EC-ICS creation</t>
  </si>
  <si>
    <t>Calendar Year 2026 Water Use Projections</t>
  </si>
  <si>
    <t>CY 2026</t>
  </si>
  <si>
    <t>CY2026</t>
  </si>
  <si>
    <t>DCP ICS converted to system water due to full bank</t>
  </si>
  <si>
    <t>Tributary System Conservation</t>
  </si>
  <si>
    <t>0 AF ICS created due to full bank</t>
  </si>
  <si>
    <t>Conversion of DCPICS to system water to make room for BICS</t>
  </si>
  <si>
    <t>intended ICS creation with 199 kaf demand - none created due to full bank</t>
  </si>
  <si>
    <t>Coachella Ag Conservation System Conservation</t>
  </si>
  <si>
    <t>GM Gabrych System Conservation</t>
  </si>
  <si>
    <t>Cathcart Farms System Conservation</t>
  </si>
  <si>
    <t>Hopi Tribe System Conservation</t>
  </si>
  <si>
    <t>Quechan Indian Tribe-MWD System Conservation</t>
  </si>
  <si>
    <t>PVID-MWD System Conservation</t>
  </si>
  <si>
    <t>242 Wellfield Additional Pumping Agreement</t>
  </si>
  <si>
    <t>System Conservation (in additon to tributary)</t>
  </si>
  <si>
    <t>In Dan's Slide</t>
  </si>
  <si>
    <t>X</t>
  </si>
  <si>
    <t>CAP ICS Preservation Program</t>
  </si>
  <si>
    <t>MWD ICS Creation</t>
  </si>
  <si>
    <t>SNWA Tributary ICS/System Water</t>
  </si>
  <si>
    <t>Bucket</t>
  </si>
  <si>
    <t>SysCon</t>
  </si>
  <si>
    <t>SEIS</t>
  </si>
  <si>
    <t>Annual Total</t>
  </si>
  <si>
    <t>Conservation Activity (ac-ft)</t>
  </si>
  <si>
    <t>Applies to SEIS ROD</t>
  </si>
  <si>
    <t>Other Conserved Water</t>
  </si>
  <si>
    <t>SNWA Other Conserved Water</t>
  </si>
  <si>
    <t>Not for SEIS Volumes</t>
  </si>
  <si>
    <t>Create 41 kaf given demand (0 kaf created due to full banks)</t>
  </si>
  <si>
    <t xml:space="preserve">water left in Mead due to MWD at max capacity </t>
  </si>
  <si>
    <t>Delivery of 25 kaf ICS (25 kaf tribal)</t>
  </si>
  <si>
    <t>192 kaf DCP contribution with 19285 af DCP ICS due to full bank</t>
  </si>
  <si>
    <t>0 created due to full banks</t>
  </si>
  <si>
    <t>CAP annual diversion of 0.938 maf</t>
  </si>
  <si>
    <t>Projected Operating Condition - Level 1 Shortage (1075-1050)</t>
  </si>
  <si>
    <t>Total system conservation is this plus tributary (136 kaf)</t>
  </si>
  <si>
    <t xml:space="preserve">tributary conservation 36 kaf </t>
  </si>
  <si>
    <t>8,000 DCP-ICS and 94493 AF ECICS to System Water</t>
  </si>
  <si>
    <t>Coachella Ag System Conservation</t>
  </si>
  <si>
    <t>MX BNWSCP contribution of 30 KAF &amp; shortage 50 KAF &amp; WR delivery of 22975 af &amp; system conservation of 133 kaf &amp; WR creation of 11393 af</t>
  </si>
  <si>
    <t>Unused - interstate banking</t>
  </si>
  <si>
    <t>Unused - left in system</t>
  </si>
  <si>
    <t>PSCP water - left in system</t>
  </si>
  <si>
    <t>PSCP</t>
  </si>
  <si>
    <t>Central Arizona Project (CAP) Other Conserved Water</t>
  </si>
  <si>
    <t>CAP Subcontractors System Conservation Water (SCW)</t>
  </si>
  <si>
    <t>Cathcart Farms SCW</t>
  </si>
  <si>
    <t>Cibola Valley Irrigation &amp; Drainage District SCW</t>
  </si>
  <si>
    <t>Fort McDowell Yavapai Nation SCW</t>
  </si>
  <si>
    <t>GM Gabrych Family Limited Partnership SCW</t>
  </si>
  <si>
    <t>Gila River Indian Community SCW</t>
  </si>
  <si>
    <t>Hopi Tribe SCW</t>
  </si>
  <si>
    <t>Mohave Valley Irrigation &amp; Drainage District SCW</t>
  </si>
  <si>
    <t>San Carlos Apache Tribe SCW</t>
  </si>
  <si>
    <t>Yuma Mesa Irrigation &amp; Drainage District SCW</t>
  </si>
  <si>
    <t>Coachella Valley Water District SCW</t>
  </si>
  <si>
    <t>Imperial Irrigation District SCW</t>
  </si>
  <si>
    <t>Coachella Agriculture SCW</t>
  </si>
  <si>
    <t>Metropolitan Water District (MWD) of Southern California ICS Creation</t>
  </si>
  <si>
    <t>MWD Other Conserved Water Left in Lake Mead</t>
  </si>
  <si>
    <t>Palo Verde Irrigation District/MWD SCW</t>
  </si>
  <si>
    <t>Quechan Indian Tribe/MWD SCW</t>
  </si>
  <si>
    <t>SNWA Tributary ICS Creation</t>
  </si>
  <si>
    <t>SNWA Other Conserved Water Left in Lake Mead</t>
  </si>
  <si>
    <t>LCB Water Entitlement Holder/Tribe</t>
  </si>
  <si>
    <t>NV Demand is 207 KAF</t>
  </si>
  <si>
    <t>SNWA annual use of 202 kaf</t>
  </si>
  <si>
    <t>SNWA annual use of 182 kaf</t>
  </si>
  <si>
    <t xml:space="preserve">     Modeled CA state total</t>
  </si>
  <si>
    <t>Bard</t>
  </si>
  <si>
    <t>Bard/MWD SCW</t>
  </si>
  <si>
    <t>Bard-MWD System Conservation</t>
  </si>
  <si>
    <t>NV demand is 187 kaf</t>
  </si>
  <si>
    <t>MWD annual diversion = 960 kaf (demand is 957 kaf, but bank is full, taking delivery of water to capacity)</t>
  </si>
  <si>
    <t>Cummulative</t>
  </si>
  <si>
    <t>Feet</t>
  </si>
  <si>
    <t>Θ</t>
  </si>
  <si>
    <t>Delivery of 10 kaf ICS (10 kaf tribal)</t>
  </si>
  <si>
    <t>192 kaf DCP contribution with 2618 af DCP ICS due to full bank</t>
  </si>
  <si>
    <t>MWD annual diversion = 959 kaf (demand is 957 kaf, but bank is full, taking delivery of water to capacity)</t>
  </si>
  <si>
    <t>CAP annual diversion of 0.891 maf</t>
  </si>
  <si>
    <t>Total system conservation is this plus tributary (111 kaf)</t>
  </si>
  <si>
    <t>SNWA annual use of 207 kaf</t>
  </si>
  <si>
    <t>8000 af DCP ICS plus 70910 af of EC ICS</t>
  </si>
  <si>
    <t>NV Demand is 212 KAF based on water accounting forecast (12/3/24)</t>
  </si>
  <si>
    <t>CAP annual diversion of 891 kaf</t>
  </si>
  <si>
    <t>8000 af DCP ICS plus 70,910 af of EC ICS</t>
  </si>
  <si>
    <t>MX BNWSCP contribution of 30 KAF &amp; shortage 50 KAF &amp; WR delivery of 29976 af &amp; system conservation of 133 kaf &amp; WR creation of 11393 af</t>
  </si>
  <si>
    <t>Create 0 kaf</t>
  </si>
  <si>
    <t>Create 0</t>
  </si>
  <si>
    <t>Vacated ICS left in Mead</t>
  </si>
  <si>
    <t xml:space="preserve">     Vacated ICS </t>
  </si>
  <si>
    <t xml:space="preserve">Vacate ECIS to make space for binational </t>
  </si>
  <si>
    <t>Calendar Year 2027 Water Use Projections</t>
  </si>
  <si>
    <t>CY 2027</t>
  </si>
  <si>
    <t>CY2027</t>
  </si>
  <si>
    <t>MWD (B2)</t>
  </si>
  <si>
    <t>LC System Conservation Program</t>
  </si>
  <si>
    <t xml:space="preserve">Pending </t>
  </si>
  <si>
    <t>GM Gabrych/Matador</t>
  </si>
  <si>
    <t>Total system conservation is this plus tributary (35 kaf)</t>
  </si>
  <si>
    <t>MX BNWSCP contribution of 30 KAF &amp; shortage 50 KAF &amp; system conservation of 120.596 kaf. Water Reserve creation of 80.573 KAF. Water Reserve Delivery of 21.646 KAF</t>
  </si>
  <si>
    <t>35 kaf Tributary conservation</t>
  </si>
  <si>
    <t>Post-2026 delivery</t>
  </si>
  <si>
    <t>2027 conservation is only tributary (35 kaf)</t>
  </si>
  <si>
    <t>Other</t>
  </si>
  <si>
    <t>Conservation Activity</t>
  </si>
  <si>
    <t xml:space="preserve">MX BNWSCP contribution of 30 KAF &amp; shortage 50 KAF </t>
  </si>
  <si>
    <t>MWD B2 System Conservation</t>
  </si>
  <si>
    <t>B2 agreement</t>
  </si>
  <si>
    <t>SNWA System Conservation Water</t>
  </si>
  <si>
    <t>Replace with MWD system water</t>
  </si>
  <si>
    <t>Remove since it doesn't affect modeling, show as 0 EC ICS</t>
  </si>
  <si>
    <t>SNWA Bucket 2: 189 kaf</t>
  </si>
  <si>
    <t>SNWA Tributary Conservation</t>
  </si>
  <si>
    <t>MWD System Conservation</t>
  </si>
  <si>
    <t xml:space="preserve">Total system conservation is this plus tributary (35 kaf) </t>
  </si>
  <si>
    <t>Counts towarsd SEIS ROD</t>
  </si>
  <si>
    <t>indicates updates from WAR</t>
  </si>
  <si>
    <t>Most probable only</t>
  </si>
  <si>
    <t>SEIS ROD Conservation</t>
  </si>
  <si>
    <t>Yearly</t>
  </si>
  <si>
    <t xml:space="preserve">MX BNWSCP contribution of 30 KAF &amp; shortage 50 KAF. </t>
  </si>
  <si>
    <t>Delivery of 3945 af +  36.06 kaf ECICS conversion (model input as 40kaf to make diversion and ICS balances correct)</t>
  </si>
  <si>
    <t>192 kaf DCP contribution with 36,055 af conversion from ECICS to DCPICS in addition of 9,439 af new EC to DCP ICS creation (45,494 af total DCP ICS; total of 43,535 af due to lack of bank space)</t>
  </si>
  <si>
    <t xml:space="preserve">16 kaf of DCPICS, and 14.9 kaf of ECICS vacated as system water </t>
  </si>
  <si>
    <t xml:space="preserve">192 kaf DCP contribution with 0 af DCP ICS </t>
  </si>
  <si>
    <t>CAP annual diversion of 900 kaf</t>
  </si>
  <si>
    <t>192 kaf DCP contribution with 50 KAF of DCP CIS</t>
  </si>
  <si>
    <t xml:space="preserve">MWD Diversion of 1.14 Maf </t>
  </si>
  <si>
    <t>MWD annual diversion = 826</t>
  </si>
  <si>
    <t>Total system conservation is this plus tributary (128 kaf)</t>
  </si>
  <si>
    <t>SNWA annual use of 188 kaf</t>
  </si>
  <si>
    <t>192 kaf DCP contribution with 0 kaf DCP ICS</t>
  </si>
  <si>
    <t>Matador System Conservation</t>
  </si>
  <si>
    <t xml:space="preserve">MWD annual diversion = 811 kaf </t>
  </si>
  <si>
    <t>CAP annual diversion of 0.912 maf</t>
  </si>
  <si>
    <t>CAP annual diversion of 0.808 maf</t>
  </si>
  <si>
    <t>Total system conservation is this plus tributary (124 kaf)</t>
  </si>
  <si>
    <t xml:space="preserve">MWD Diversion target 0.811 maf </t>
  </si>
  <si>
    <t>CAP annual diversion of 912 kaf</t>
  </si>
  <si>
    <t>20,943 kaf ECICS conversion (model input as a delivery to make diversion and ICS balances correct)</t>
  </si>
  <si>
    <t xml:space="preserve">192 kaf DCP contribution with 19,685 due to full bank,conversion from ECICS to DCPICS </t>
  </si>
  <si>
    <t>Total system conservation is this plus tributary (122 kaf)</t>
  </si>
  <si>
    <t>SNWA annual use of 195 kaf</t>
  </si>
  <si>
    <t xml:space="preserve">16 kaf of DCPICS, and 37.2 kaf of ECICS vacated as system water </t>
  </si>
  <si>
    <t>CAP annual diversion of 808 kaf</t>
  </si>
  <si>
    <t>Total system conservation is this plus tributary (114 kaf)</t>
  </si>
  <si>
    <t>SNWA annual use of 198 kaf</t>
  </si>
  <si>
    <t xml:space="preserve">16 kaf of DCPICS, and 37,222 af of ECICS vacated as system water </t>
  </si>
  <si>
    <t>CAP annual diversion of 978</t>
  </si>
  <si>
    <t>Post 2026 ICS Delivery Logic (45,259 af)</t>
  </si>
  <si>
    <t>SNWA annual use of 268 kaf</t>
  </si>
  <si>
    <t>intended ICS creation with 198 kaf demand - 9177 AF created due to full bank</t>
  </si>
  <si>
    <t>MX BNWSCP contribution of 30 KAF &amp; shortage 50 KAF &amp; system conservation of 120.596 kaf. Water Reserve creation of 70689 AF. Water Reserve Delivery of 21.647 KAF</t>
  </si>
  <si>
    <t>MWD Diversion of 1.14 Maf</t>
  </si>
  <si>
    <t>SNWA annual use of 199 kaf</t>
  </si>
  <si>
    <t>Vacated ICS</t>
  </si>
  <si>
    <t>Input into model</t>
  </si>
  <si>
    <t>MWD annual diversion = 907 kaf (want to divert 866 kaf but ICS bank is full); Workaround for rule fail (rule 29) Jan - reset value is 881,590af plus vacated ics 25,409 af = total delivery of 906,999</t>
  </si>
  <si>
    <t>vacated ics volume of 25,409 af minus MWD return flows</t>
  </si>
  <si>
    <t>MWD annual diversion = 890 (target is 870 but ICS bank is full)</t>
  </si>
  <si>
    <t xml:space="preserve">192 kaf DCP contribution with 50 kaf DCP ICS </t>
  </si>
  <si>
    <t>192 kaf DCP contribution with 50 KAF of DCP ICS</t>
  </si>
  <si>
    <t>CAP annual diversion of 985 kaf</t>
  </si>
  <si>
    <t>Post 2026 ICS Delivery Logic (52,390)</t>
  </si>
  <si>
    <t>MWD annual diversion = 907 kaf (want to divert 818 kaf but ICS bank is full); Workaround for rule fail (rule 29) Jan - reset value is 881,590af plus vacated ics 25,409 af = total delivery of 906,999</t>
  </si>
  <si>
    <t>Total system conservation is this plus tributary (134 kaf)</t>
  </si>
  <si>
    <t>SNWA annual use of 178 kaf</t>
  </si>
  <si>
    <t>8000 AF DCP +20362 EC</t>
  </si>
  <si>
    <t>MX BNWSCP contribution of 30 KAF &amp; shortage 50 KAF &amp; system conservation of 0 kaf. Water Reserve creation of 137689 AF. Water Reserve Delivery of 21.647 KAF</t>
  </si>
  <si>
    <t>MWD annual diversion = 890 kaf (demand is 615 but bank is full)</t>
  </si>
  <si>
    <t>192 kaf DCP contribution with 50 kaf DCP ICS</t>
  </si>
  <si>
    <t>CAP annual diversion of 978 maf</t>
  </si>
  <si>
    <t>intended ICS creation with 188 kaf demand, 9177 created due to full bank</t>
  </si>
  <si>
    <t xml:space="preserve">8000 AF DCP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</si>
</sst>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#,##0.000"/>
    <numFmt numFmtId="165" formatCode="_(* #,##0_);_(* \(#,##0\);_(* &quot;-&quot;??_);_(@_)"/>
    <numFmt numFmtId="166" formatCode="#,##0.0"/>
  </numFmts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name val="Arial"/>
      <family val="2"/>
    </font>
    <font>
      <sz val="11"/>
      <color rgb="FFC00000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3E51"/>
      </left>
      <right style="thin">
        <color rgb="FF003E51"/>
      </right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thin">
        <color rgb="FF003E51"/>
      </right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medium">
        <color rgb="FF003E51"/>
      </right>
      <top style="medium">
        <color rgb="FF003E51"/>
      </top>
      <bottom style="thin">
        <color rgb="FF003E51"/>
      </bottom>
      <diagonal/>
    </border>
    <border>
      <left style="medium">
        <color rgb="FF003E51"/>
      </left>
      <right style="thin">
        <color rgb="FF003E51"/>
      </right>
      <top style="thin">
        <color rgb="FF003E51"/>
      </top>
      <bottom style="thin">
        <color rgb="FF003E51"/>
      </bottom>
      <diagonal/>
    </border>
    <border>
      <left style="thin">
        <color rgb="FF003E51"/>
      </left>
      <right style="thin">
        <color rgb="FF003E51"/>
      </right>
      <top style="thin">
        <color rgb="FF003E51"/>
      </top>
      <bottom style="thin">
        <color rgb="FF003E51"/>
      </bottom>
      <diagonal/>
    </border>
    <border>
      <left style="thin">
        <color rgb="FF003E51"/>
      </left>
      <right style="medium">
        <color rgb="FF003E51"/>
      </right>
      <top style="thin">
        <color rgb="FF003E51"/>
      </top>
      <bottom style="thin">
        <color rgb="FF003E51"/>
      </bottom>
      <diagonal/>
    </border>
    <border>
      <left style="medium">
        <color rgb="FF003E51"/>
      </left>
      <right style="thin">
        <color rgb="FF003E51"/>
      </right>
      <top style="thin">
        <color rgb="FF003E51"/>
      </top>
      <bottom style="medium">
        <color rgb="FF003E51"/>
      </bottom>
      <diagonal/>
    </border>
    <border>
      <left style="thin">
        <color rgb="FF003E51"/>
      </left>
      <right style="thin">
        <color rgb="FF003E51"/>
      </right>
      <top style="thin">
        <color rgb="FF003E51"/>
      </top>
      <bottom style="medium">
        <color rgb="FF003E51"/>
      </bottom>
      <diagonal/>
    </border>
    <border>
      <left style="thin">
        <color rgb="FF003E51"/>
      </left>
      <right style="medium">
        <color rgb="FF003E51"/>
      </right>
      <top style="thin">
        <color rgb="FF003E51"/>
      </top>
      <bottom style="medium">
        <color rgb="FF003E51"/>
      </bottom>
      <diagonal/>
    </border>
    <border>
      <left style="thin">
        <color rgb="FF003E51"/>
      </left>
      <right style="thin">
        <color rgb="FF003E51"/>
      </right>
      <top/>
      <bottom style="thin">
        <color rgb="FF003E51"/>
      </bottom>
      <diagonal/>
    </border>
    <border>
      <left style="medium">
        <color rgb="FF003E51"/>
      </left>
      <right style="thin">
        <color rgb="FF003E51"/>
      </right>
      <top/>
      <bottom style="thin">
        <color rgb="FF003E51"/>
      </bottom>
      <diagonal/>
    </border>
    <border>
      <left style="thin">
        <color rgb="FF003E51"/>
      </left>
      <right style="medium">
        <color rgb="FF003E51"/>
      </right>
      <top/>
      <bottom style="thin">
        <color rgb="FF003E51"/>
      </bottom>
      <diagonal/>
    </border>
    <border>
      <left style="medium">
        <color rgb="FF003E51"/>
      </left>
      <right style="thin">
        <color rgb="FF003E51"/>
      </right>
      <top style="thin">
        <color rgb="FF003E51"/>
      </top>
      <bottom/>
      <diagonal/>
    </border>
    <border>
      <left style="medium">
        <color rgb="FF003E51"/>
      </left>
      <right style="thin">
        <color rgb="FF003E51"/>
      </right>
      <top/>
      <bottom/>
      <diagonal/>
    </border>
    <border>
      <left style="medium">
        <color rgb="FF003E51"/>
      </left>
      <right style="thin">
        <color rgb="FF003E51"/>
      </right>
      <top/>
      <bottom style="medium">
        <color rgb="FF003E5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 style="thin">
        <color rgb="FF003E51"/>
      </top>
      <bottom/>
      <diagonal/>
    </border>
    <border>
      <left style="thin">
        <color rgb="FF003E51"/>
      </left>
      <right style="thin">
        <color rgb="FF003E51"/>
      </right>
      <top style="thin">
        <color rgb="FF003E51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 style="medium">
        <color indexed="64"/>
      </top>
      <bottom style="thin">
        <color rgb="FF003E51"/>
      </bottom>
      <diagonal/>
    </border>
    <border>
      <left style="medium">
        <color indexed="64"/>
      </left>
      <right style="thin">
        <color rgb="FF003E51"/>
      </right>
      <top style="medium">
        <color indexed="64"/>
      </top>
      <bottom style="thin">
        <color rgb="FF003E51"/>
      </bottom>
      <diagonal/>
    </border>
    <border>
      <left style="thin">
        <color rgb="FF003E51"/>
      </left>
      <right style="medium">
        <color indexed="64"/>
      </right>
      <top style="medium">
        <color indexed="64"/>
      </top>
      <bottom style="thin">
        <color rgb="FF003E51"/>
      </bottom>
      <diagonal/>
    </border>
    <border>
      <left style="medium">
        <color indexed="64"/>
      </left>
      <right style="thin">
        <color rgb="FF003E51"/>
      </right>
      <top style="thin">
        <color rgb="FF003E51"/>
      </top>
      <bottom/>
      <diagonal/>
    </border>
    <border>
      <left style="thin">
        <color rgb="FF003E51"/>
      </left>
      <right style="medium">
        <color indexed="64"/>
      </right>
      <top style="thin">
        <color rgb="FF003E51"/>
      </top>
      <bottom style="thin">
        <color rgb="FF003E51"/>
      </bottom>
      <diagonal/>
    </border>
    <border>
      <left style="medium">
        <color indexed="64"/>
      </left>
      <right style="thin">
        <color rgb="FF003E51"/>
      </right>
      <top/>
      <bottom/>
      <diagonal/>
    </border>
    <border>
      <left style="medium">
        <color indexed="64"/>
      </left>
      <right style="thin">
        <color rgb="FF003E51"/>
      </right>
      <top/>
      <bottom style="medium">
        <color rgb="FF003E51"/>
      </bottom>
      <diagonal/>
    </border>
    <border>
      <left style="thin">
        <color rgb="FF003E51"/>
      </left>
      <right style="medium">
        <color indexed="64"/>
      </right>
      <top style="thin">
        <color rgb="FF003E51"/>
      </top>
      <bottom style="medium">
        <color rgb="FF003E51"/>
      </bottom>
      <diagonal/>
    </border>
    <border>
      <left style="medium">
        <color indexed="64"/>
      </left>
      <right style="thin">
        <color rgb="FF003E51"/>
      </right>
      <top style="medium">
        <color rgb="FF003E51"/>
      </top>
      <bottom/>
      <diagonal/>
    </border>
    <border>
      <left style="thin">
        <color rgb="FF003E51"/>
      </left>
      <right style="medium">
        <color indexed="64"/>
      </right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medium">
        <color indexed="64"/>
      </right>
      <top style="thin">
        <color rgb="FF003E51"/>
      </top>
      <bottom style="medium">
        <color indexed="64"/>
      </bottom>
      <diagonal/>
    </border>
    <border>
      <left style="medium">
        <color indexed="64"/>
      </left>
      <right style="thin">
        <color rgb="FF003E51"/>
      </right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medium">
        <color indexed="64"/>
      </right>
      <top/>
      <bottom style="thin">
        <color rgb="FF003E51"/>
      </bottom>
      <diagonal/>
    </border>
    <border>
      <left style="medium">
        <color indexed="64"/>
      </left>
      <right style="thin">
        <color rgb="FF003E51"/>
      </right>
      <top style="thin">
        <color rgb="FF003E51"/>
      </top>
      <bottom style="medium">
        <color rgb="FF003E51"/>
      </bottom>
      <diagonal/>
    </border>
    <border>
      <left style="medium">
        <color indexed="64"/>
      </left>
      <right style="thin">
        <color rgb="FF003E51"/>
      </right>
      <top style="thin">
        <color rgb="FF003E51"/>
      </top>
      <bottom style="medium">
        <color indexed="64"/>
      </bottom>
      <diagonal/>
    </border>
    <border>
      <left style="medium">
        <color rgb="FF003E51"/>
      </left>
      <right style="thin">
        <color rgb="FF003E51"/>
      </right>
      <top style="medium">
        <color rgb="FF003E51"/>
      </top>
      <bottom/>
      <diagonal/>
    </border>
    <border>
      <left style="thin">
        <color rgb="FF003E51"/>
      </left>
      <right style="thin">
        <color rgb="FF003E51"/>
      </right>
      <top style="thin">
        <color indexed="64"/>
      </top>
      <bottom style="thin">
        <color indexed="64"/>
      </bottom>
      <diagonal/>
    </border>
    <border>
      <left style="thin">
        <color rgb="FF003E51"/>
      </left>
      <right/>
      <top style="thin">
        <color rgb="FF003E51"/>
      </top>
      <bottom style="thin">
        <color rgb="FF003E51"/>
      </bottom>
      <diagonal/>
    </border>
    <border>
      <left style="thin">
        <color rgb="FF003E51"/>
      </left>
      <right/>
      <top style="medium">
        <color rgb="FF003E51"/>
      </top>
      <bottom style="thin">
        <color rgb="FF003E51"/>
      </bottom>
      <diagonal/>
    </border>
    <border>
      <left style="thin">
        <color rgb="FF003E51"/>
      </left>
      <right style="thin">
        <color indexed="64"/>
      </right>
      <top style="thin">
        <color rgb="FF003E51"/>
      </top>
      <bottom style="medium">
        <color indexed="64"/>
      </bottom>
      <diagonal/>
    </border>
    <border>
      <left style="thin">
        <color rgb="FF003E5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3E51"/>
      </right>
      <top style="thin">
        <color rgb="FF003E51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3E51"/>
      </right>
      <top style="medium">
        <color indexed="64"/>
      </top>
      <bottom style="medium">
        <color indexed="64"/>
      </bottom>
      <diagonal/>
    </border>
    <border>
      <left style="thin">
        <color rgb="FF003E51"/>
      </left>
      <right style="thin">
        <color rgb="FF003E51"/>
      </right>
      <top style="medium">
        <color indexed="64"/>
      </top>
      <bottom style="medium">
        <color indexed="64"/>
      </bottom>
      <diagonal/>
    </border>
    <border>
      <left style="thin">
        <color rgb="FF003E5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3E51"/>
      </right>
      <top/>
      <bottom style="medium">
        <color indexed="64"/>
      </bottom>
      <diagonal/>
    </border>
  </borders>
  <cellStyleXfs count="7">
    <xf numFmtId="0" fontId="0" fillId="0" borderId="0"/>
    <xf numFmtId="0" fontId="7" fillId="0" borderId="0"/>
    <xf numFmtId="0" fontId="8" fillId="0" borderId="0"/>
    <xf numFmtId="0" fontId="9" fillId="0" borderId="0"/>
    <xf numFmtId="0" fontId="7" fillId="0" borderId="0"/>
    <xf numFmtId="0" fontId="7" fillId="0" borderId="0"/>
    <xf numFmtId="43" fontId="24" fillId="0" borderId="0" applyFont="0" applyFill="0" applyBorder="0" applyAlignment="0" applyProtection="0"/>
  </cellStyleXfs>
  <cellXfs count="597">
    <xf numFmtId="0" fontId="0" fillId="0" borderId="0" xfId="0"/>
    <xf numFmtId="3" fontId="0" fillId="0" borderId="0" xfId="0" applyNumberFormat="1"/>
    <xf numFmtId="0" fontId="5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vertical="center"/>
    </xf>
    <xf numFmtId="0" fontId="6" fillId="3" borderId="0" xfId="0" applyFont="1" applyFill="1" applyAlignment="1">
      <alignment vertical="center"/>
    </xf>
    <xf numFmtId="3" fontId="6" fillId="3" borderId="0" xfId="0" applyNumberFormat="1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0" fontId="5" fillId="2" borderId="0" xfId="0" applyFont="1" applyFill="1" applyAlignment="1">
      <alignment vertical="center"/>
    </xf>
    <xf numFmtId="3" fontId="6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1" xfId="0" applyNumberFormat="1" applyBorder="1" applyAlignment="1">
      <alignment vertical="center"/>
    </xf>
    <xf numFmtId="3" fontId="6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3" fontId="6" fillId="0" borderId="0" xfId="0" quotePrefix="1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4" fillId="0" borderId="0" xfId="0" applyFont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0" fontId="11" fillId="0" borderId="0" xfId="0" quotePrefix="1" applyFont="1" applyAlignment="1">
      <alignment vertical="center"/>
    </xf>
    <xf numFmtId="0" fontId="5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1" fillId="4" borderId="0" xfId="0" quotePrefix="1" applyFont="1" applyFill="1" applyAlignment="1">
      <alignment vertical="center"/>
    </xf>
    <xf numFmtId="0" fontId="11" fillId="4" borderId="0" xfId="0" applyFont="1" applyFill="1"/>
    <xf numFmtId="0" fontId="6" fillId="4" borderId="0" xfId="0" applyFont="1" applyFill="1" applyAlignment="1">
      <alignment vertical="center"/>
    </xf>
    <xf numFmtId="3" fontId="6" fillId="4" borderId="0" xfId="0" applyNumberFormat="1" applyFont="1" applyFill="1" applyAlignment="1">
      <alignment horizontal="center" vertical="center"/>
    </xf>
    <xf numFmtId="3" fontId="0" fillId="4" borderId="0" xfId="0" applyNumberFormat="1" applyFill="1" applyAlignment="1">
      <alignment vertical="center"/>
    </xf>
    <xf numFmtId="0" fontId="0" fillId="4" borderId="0" xfId="0" applyFill="1"/>
    <xf numFmtId="3" fontId="0" fillId="4" borderId="0" xfId="0" applyNumberFormat="1" applyFill="1" applyAlignment="1">
      <alignment vertical="center" wrapText="1"/>
    </xf>
    <xf numFmtId="3" fontId="0" fillId="4" borderId="1" xfId="0" applyNumberForma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3" fontId="4" fillId="4" borderId="1" xfId="0" applyNumberFormat="1" applyFont="1" applyFill="1" applyBorder="1" applyAlignment="1">
      <alignment vertical="center"/>
    </xf>
    <xf numFmtId="3" fontId="6" fillId="4" borderId="0" xfId="0" applyNumberFormat="1" applyFont="1" applyFill="1" applyAlignment="1">
      <alignment vertical="center"/>
    </xf>
    <xf numFmtId="3" fontId="4" fillId="4" borderId="0" xfId="0" applyNumberFormat="1" applyFont="1" applyFill="1" applyAlignment="1">
      <alignment vertical="center"/>
    </xf>
    <xf numFmtId="3" fontId="0" fillId="4" borderId="0" xfId="0" applyNumberFormat="1" applyFill="1"/>
    <xf numFmtId="0" fontId="5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11" fillId="5" borderId="0" xfId="0" quotePrefix="1" applyFont="1" applyFill="1" applyAlignment="1">
      <alignment vertical="center"/>
    </xf>
    <xf numFmtId="0" fontId="11" fillId="5" borderId="0" xfId="0" applyFont="1" applyFill="1"/>
    <xf numFmtId="0" fontId="6" fillId="5" borderId="0" xfId="0" applyFont="1" applyFill="1" applyAlignment="1">
      <alignment vertical="center"/>
    </xf>
    <xf numFmtId="3" fontId="6" fillId="5" borderId="0" xfId="0" applyNumberFormat="1" applyFont="1" applyFill="1" applyAlignment="1">
      <alignment horizontal="center" vertical="center"/>
    </xf>
    <xf numFmtId="3" fontId="0" fillId="5" borderId="0" xfId="0" applyNumberFormat="1" applyFill="1" applyAlignment="1">
      <alignment vertical="center"/>
    </xf>
    <xf numFmtId="0" fontId="0" fillId="5" borderId="0" xfId="0" applyFill="1"/>
    <xf numFmtId="3" fontId="0" fillId="5" borderId="0" xfId="0" applyNumberFormat="1" applyFill="1" applyAlignment="1">
      <alignment vertical="center" wrapText="1"/>
    </xf>
    <xf numFmtId="3" fontId="0" fillId="5" borderId="1" xfId="0" applyNumberForma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3" fontId="4" fillId="5" borderId="1" xfId="0" applyNumberFormat="1" applyFont="1" applyFill="1" applyBorder="1" applyAlignment="1">
      <alignment vertical="center"/>
    </xf>
    <xf numFmtId="3" fontId="6" fillId="5" borderId="0" xfId="0" applyNumberFormat="1" applyFont="1" applyFill="1" applyAlignment="1">
      <alignment vertical="center"/>
    </xf>
    <xf numFmtId="3" fontId="4" fillId="5" borderId="0" xfId="0" applyNumberFormat="1" applyFont="1" applyFill="1" applyAlignment="1">
      <alignment vertical="center"/>
    </xf>
    <xf numFmtId="3" fontId="0" fillId="5" borderId="0" xfId="0" applyNumberFormat="1" applyFill="1"/>
    <xf numFmtId="0" fontId="5" fillId="4" borderId="0" xfId="0" quotePrefix="1" applyFont="1" applyFill="1" applyAlignment="1">
      <alignment vertical="center"/>
    </xf>
    <xf numFmtId="0" fontId="5" fillId="5" borderId="0" xfId="0" quotePrefix="1" applyFont="1" applyFill="1" applyAlignment="1">
      <alignment vertical="center"/>
    </xf>
    <xf numFmtId="0" fontId="5" fillId="0" borderId="0" xfId="0" quotePrefix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0" xfId="0" applyFont="1" applyFill="1"/>
    <xf numFmtId="3" fontId="13" fillId="4" borderId="0" xfId="0" applyNumberFormat="1" applyFont="1" applyFill="1" applyAlignment="1">
      <alignment vertical="center" wrapText="1"/>
    </xf>
    <xf numFmtId="3" fontId="13" fillId="4" borderId="0" xfId="0" applyNumberFormat="1" applyFont="1" applyFill="1" applyAlignment="1">
      <alignment vertical="center"/>
    </xf>
    <xf numFmtId="0" fontId="13" fillId="4" borderId="0" xfId="0" applyFont="1" applyFill="1" applyAlignment="1">
      <alignment horizontal="right"/>
    </xf>
    <xf numFmtId="3" fontId="13" fillId="4" borderId="0" xfId="0" applyNumberFormat="1" applyFont="1" applyFill="1" applyAlignment="1">
      <alignment horizontal="right"/>
    </xf>
    <xf numFmtId="3" fontId="14" fillId="4" borderId="0" xfId="0" quotePrefix="1" applyNumberFormat="1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3" fontId="13" fillId="0" borderId="0" xfId="0" applyNumberFormat="1" applyFont="1" applyAlignment="1">
      <alignment vertical="center" wrapText="1"/>
    </xf>
    <xf numFmtId="3" fontId="13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right"/>
    </xf>
    <xf numFmtId="3" fontId="14" fillId="0" borderId="0" xfId="0" quotePrefix="1" applyNumberFormat="1" applyFont="1" applyAlignment="1">
      <alignment vertical="center"/>
    </xf>
    <xf numFmtId="0" fontId="13" fillId="5" borderId="0" xfId="0" applyFont="1" applyFill="1" applyAlignment="1">
      <alignment vertical="center"/>
    </xf>
    <xf numFmtId="3" fontId="11" fillId="5" borderId="0" xfId="0" applyNumberFormat="1" applyFont="1" applyFill="1" applyAlignment="1">
      <alignment vertical="center"/>
    </xf>
    <xf numFmtId="3" fontId="13" fillId="5" borderId="0" xfId="0" applyNumberFormat="1" applyFont="1" applyFill="1" applyAlignment="1">
      <alignment vertical="center"/>
    </xf>
    <xf numFmtId="3" fontId="14" fillId="5" borderId="0" xfId="0" quotePrefix="1" applyNumberFormat="1" applyFont="1" applyFill="1" applyAlignment="1">
      <alignment vertical="center"/>
    </xf>
    <xf numFmtId="0" fontId="13" fillId="5" borderId="0" xfId="0" applyFont="1" applyFill="1"/>
    <xf numFmtId="3" fontId="13" fillId="5" borderId="0" xfId="0" applyNumberFormat="1" applyFont="1" applyFill="1" applyAlignment="1">
      <alignment vertical="center" wrapText="1"/>
    </xf>
    <xf numFmtId="0" fontId="13" fillId="5" borderId="0" xfId="0" applyFont="1" applyFill="1" applyAlignment="1">
      <alignment horizontal="right"/>
    </xf>
    <xf numFmtId="3" fontId="13" fillId="5" borderId="0" xfId="0" applyNumberFormat="1" applyFont="1" applyFill="1" applyAlignment="1">
      <alignment horizontal="right"/>
    </xf>
    <xf numFmtId="3" fontId="10" fillId="0" borderId="0" xfId="0" applyNumberFormat="1" applyFont="1" applyAlignment="1">
      <alignment vertical="center"/>
    </xf>
    <xf numFmtId="3" fontId="10" fillId="4" borderId="0" xfId="0" applyNumberFormat="1" applyFont="1" applyFill="1" applyAlignment="1">
      <alignment vertical="center"/>
    </xf>
    <xf numFmtId="3" fontId="12" fillId="4" borderId="0" xfId="0" applyNumberFormat="1" applyFont="1" applyFill="1" applyAlignment="1">
      <alignment vertical="center"/>
    </xf>
    <xf numFmtId="3" fontId="11" fillId="4" borderId="0" xfId="0" applyNumberFormat="1" applyFont="1" applyFill="1" applyAlignment="1">
      <alignment vertical="center"/>
    </xf>
    <xf numFmtId="3" fontId="10" fillId="5" borderId="0" xfId="0" applyNumberFormat="1" applyFont="1" applyFill="1" applyAlignment="1">
      <alignment vertical="center"/>
    </xf>
    <xf numFmtId="164" fontId="0" fillId="0" borderId="0" xfId="0" applyNumberFormat="1"/>
    <xf numFmtId="3" fontId="11" fillId="0" borderId="0" xfId="0" applyNumberFormat="1" applyFont="1" applyAlignment="1">
      <alignment vertical="center" wrapText="1"/>
    </xf>
    <xf numFmtId="3" fontId="11" fillId="4" borderId="0" xfId="0" applyNumberFormat="1" applyFont="1" applyFill="1" applyAlignment="1">
      <alignment vertical="center" wrapText="1"/>
    </xf>
    <xf numFmtId="3" fontId="11" fillId="5" borderId="0" xfId="0" applyNumberFormat="1" applyFont="1" applyFill="1" applyAlignment="1">
      <alignment vertical="center" wrapText="1"/>
    </xf>
    <xf numFmtId="3" fontId="13" fillId="6" borderId="0" xfId="0" applyNumberFormat="1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3" fontId="13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4" fontId="0" fillId="4" borderId="0" xfId="0" applyNumberFormat="1" applyFill="1" applyAlignment="1">
      <alignment vertical="center"/>
    </xf>
    <xf numFmtId="0" fontId="17" fillId="7" borderId="0" xfId="0" applyFont="1" applyFill="1"/>
    <xf numFmtId="0" fontId="17" fillId="4" borderId="3" xfId="0" applyFont="1" applyFill="1" applyBorder="1" applyAlignment="1">
      <alignment vertical="center"/>
    </xf>
    <xf numFmtId="0" fontId="17" fillId="4" borderId="4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6" xfId="0" applyFont="1" applyFill="1" applyBorder="1" applyAlignment="1">
      <alignment vertical="center"/>
    </xf>
    <xf numFmtId="0" fontId="17" fillId="4" borderId="5" xfId="0" quotePrefix="1" applyFont="1" applyFill="1" applyBorder="1" applyAlignment="1">
      <alignment vertical="center"/>
    </xf>
    <xf numFmtId="0" fontId="17" fillId="4" borderId="5" xfId="0" applyFont="1" applyFill="1" applyBorder="1" applyAlignment="1">
      <alignment vertical="center"/>
    </xf>
    <xf numFmtId="0" fontId="17" fillId="4" borderId="6" xfId="0" applyFont="1" applyFill="1" applyBorder="1"/>
    <xf numFmtId="0" fontId="18" fillId="4" borderId="5" xfId="0" applyFont="1" applyFill="1" applyBorder="1" applyAlignment="1">
      <alignment vertical="center"/>
    </xf>
    <xf numFmtId="3" fontId="18" fillId="4" borderId="0" xfId="0" applyNumberFormat="1" applyFont="1" applyFill="1" applyAlignment="1">
      <alignment horizontal="center" vertical="center"/>
    </xf>
    <xf numFmtId="0" fontId="18" fillId="4" borderId="6" xfId="0" applyFont="1" applyFill="1" applyBorder="1" applyAlignment="1">
      <alignment vertical="center"/>
    </xf>
    <xf numFmtId="3" fontId="17" fillId="4" borderId="0" xfId="0" applyNumberFormat="1" applyFont="1" applyFill="1" applyAlignment="1">
      <alignment vertical="center"/>
    </xf>
    <xf numFmtId="3" fontId="17" fillId="4" borderId="6" xfId="0" applyNumberFormat="1" applyFont="1" applyFill="1" applyBorder="1" applyAlignment="1">
      <alignment vertical="center" wrapText="1"/>
    </xf>
    <xf numFmtId="3" fontId="19" fillId="4" borderId="6" xfId="0" applyNumberFormat="1" applyFont="1" applyFill="1" applyBorder="1" applyAlignment="1">
      <alignment vertical="center"/>
    </xf>
    <xf numFmtId="3" fontId="17" fillId="5" borderId="0" xfId="0" applyNumberFormat="1" applyFont="1" applyFill="1" applyAlignment="1">
      <alignment vertical="center"/>
    </xf>
    <xf numFmtId="3" fontId="17" fillId="4" borderId="1" xfId="0" applyNumberFormat="1" applyFont="1" applyFill="1" applyBorder="1" applyAlignment="1">
      <alignment vertical="center"/>
    </xf>
    <xf numFmtId="3" fontId="17" fillId="5" borderId="1" xfId="0" applyNumberFormat="1" applyFont="1" applyFill="1" applyBorder="1" applyAlignment="1">
      <alignment vertical="center"/>
    </xf>
    <xf numFmtId="3" fontId="17" fillId="4" borderId="6" xfId="0" applyNumberFormat="1" applyFont="1" applyFill="1" applyBorder="1" applyAlignment="1">
      <alignment vertical="center"/>
    </xf>
    <xf numFmtId="0" fontId="16" fillId="4" borderId="5" xfId="0" applyFont="1" applyFill="1" applyBorder="1" applyAlignment="1">
      <alignment vertical="center"/>
    </xf>
    <xf numFmtId="3" fontId="16" fillId="4" borderId="1" xfId="0" applyNumberFormat="1" applyFont="1" applyFill="1" applyBorder="1" applyAlignment="1">
      <alignment vertical="center"/>
    </xf>
    <xf numFmtId="3" fontId="17" fillId="4" borderId="6" xfId="0" applyNumberFormat="1" applyFont="1" applyFill="1" applyBorder="1" applyAlignment="1">
      <alignment horizontal="right"/>
    </xf>
    <xf numFmtId="3" fontId="16" fillId="5" borderId="1" xfId="0" applyNumberFormat="1" applyFont="1" applyFill="1" applyBorder="1" applyAlignment="1">
      <alignment vertical="center"/>
    </xf>
    <xf numFmtId="3" fontId="17" fillId="7" borderId="0" xfId="0" applyNumberFormat="1" applyFont="1" applyFill="1"/>
    <xf numFmtId="3" fontId="18" fillId="4" borderId="6" xfId="0" applyNumberFormat="1" applyFont="1" applyFill="1" applyBorder="1" applyAlignment="1">
      <alignment vertical="center"/>
    </xf>
    <xf numFmtId="0" fontId="19" fillId="4" borderId="6" xfId="0" applyFont="1" applyFill="1" applyBorder="1" applyAlignment="1">
      <alignment vertical="center"/>
    </xf>
    <xf numFmtId="0" fontId="17" fillId="4" borderId="0" xfId="0" applyFont="1" applyFill="1"/>
    <xf numFmtId="0" fontId="17" fillId="4" borderId="5" xfId="0" applyFont="1" applyFill="1" applyBorder="1"/>
    <xf numFmtId="0" fontId="16" fillId="4" borderId="7" xfId="0" applyFont="1" applyFill="1" applyBorder="1" applyAlignment="1">
      <alignment vertical="center"/>
    </xf>
    <xf numFmtId="3" fontId="16" fillId="4" borderId="8" xfId="0" applyNumberFormat="1" applyFont="1" applyFill="1" applyBorder="1" applyAlignment="1">
      <alignment vertical="center"/>
    </xf>
    <xf numFmtId="0" fontId="17" fillId="4" borderId="8" xfId="0" applyFont="1" applyFill="1" applyBorder="1"/>
    <xf numFmtId="0" fontId="17" fillId="7" borderId="0" xfId="0" applyFont="1" applyFill="1" applyAlignment="1">
      <alignment vertical="center"/>
    </xf>
    <xf numFmtId="3" fontId="17" fillId="7" borderId="0" xfId="0" applyNumberFormat="1" applyFont="1" applyFill="1" applyAlignment="1">
      <alignment vertical="center" wrapText="1"/>
    </xf>
    <xf numFmtId="0" fontId="17" fillId="5" borderId="3" xfId="0" applyFont="1" applyFill="1" applyBorder="1" applyAlignment="1">
      <alignment vertical="center"/>
    </xf>
    <xf numFmtId="0" fontId="17" fillId="5" borderId="4" xfId="0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0" fontId="17" fillId="5" borderId="6" xfId="0" applyFont="1" applyFill="1" applyBorder="1" applyAlignment="1">
      <alignment vertical="center"/>
    </xf>
    <xf numFmtId="0" fontId="17" fillId="5" borderId="5" xfId="0" quotePrefix="1" applyFont="1" applyFill="1" applyBorder="1" applyAlignment="1">
      <alignment vertical="center"/>
    </xf>
    <xf numFmtId="0" fontId="17" fillId="5" borderId="6" xfId="0" applyFont="1" applyFill="1" applyBorder="1"/>
    <xf numFmtId="0" fontId="17" fillId="5" borderId="5" xfId="0" applyFont="1" applyFill="1" applyBorder="1"/>
    <xf numFmtId="0" fontId="17" fillId="5" borderId="0" xfId="0" applyFont="1" applyFill="1"/>
    <xf numFmtId="0" fontId="18" fillId="5" borderId="5" xfId="0" applyFont="1" applyFill="1" applyBorder="1" applyAlignment="1">
      <alignment vertical="center"/>
    </xf>
    <xf numFmtId="3" fontId="18" fillId="5" borderId="0" xfId="0" applyNumberFormat="1" applyFont="1" applyFill="1" applyAlignment="1">
      <alignment horizontal="center" vertical="center"/>
    </xf>
    <xf numFmtId="0" fontId="18" fillId="5" borderId="6" xfId="0" applyFont="1" applyFill="1" applyBorder="1" applyAlignment="1">
      <alignment vertical="center"/>
    </xf>
    <xf numFmtId="0" fontId="17" fillId="5" borderId="5" xfId="0" applyFont="1" applyFill="1" applyBorder="1" applyAlignment="1">
      <alignment vertical="center"/>
    </xf>
    <xf numFmtId="3" fontId="17" fillId="5" borderId="6" xfId="0" applyNumberFormat="1" applyFont="1" applyFill="1" applyBorder="1" applyAlignment="1">
      <alignment vertical="center" wrapText="1"/>
    </xf>
    <xf numFmtId="3" fontId="17" fillId="5" borderId="6" xfId="0" applyNumberFormat="1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6" fillId="5" borderId="7" xfId="0" applyFont="1" applyFill="1" applyBorder="1" applyAlignment="1">
      <alignment vertical="center"/>
    </xf>
    <xf numFmtId="3" fontId="16" fillId="5" borderId="8" xfId="0" applyNumberFormat="1" applyFont="1" applyFill="1" applyBorder="1" applyAlignment="1">
      <alignment vertical="center"/>
    </xf>
    <xf numFmtId="0" fontId="17" fillId="5" borderId="8" xfId="0" applyFont="1" applyFill="1" applyBorder="1"/>
    <xf numFmtId="0" fontId="15" fillId="4" borderId="2" xfId="0" applyFont="1" applyFill="1" applyBorder="1" applyAlignment="1">
      <alignment vertical="center"/>
    </xf>
    <xf numFmtId="0" fontId="15" fillId="4" borderId="5" xfId="0" quotePrefix="1" applyFont="1" applyFill="1" applyBorder="1" applyAlignment="1">
      <alignment vertical="center"/>
    </xf>
    <xf numFmtId="0" fontId="15" fillId="5" borderId="2" xfId="0" applyFont="1" applyFill="1" applyBorder="1" applyAlignment="1">
      <alignment vertical="center"/>
    </xf>
    <xf numFmtId="0" fontId="15" fillId="5" borderId="5" xfId="0" quotePrefix="1" applyFont="1" applyFill="1" applyBorder="1" applyAlignment="1">
      <alignment vertical="center"/>
    </xf>
    <xf numFmtId="0" fontId="17" fillId="4" borderId="6" xfId="0" applyFont="1" applyFill="1" applyBorder="1" applyAlignment="1">
      <alignment horizontal="right"/>
    </xf>
    <xf numFmtId="0" fontId="17" fillId="4" borderId="9" xfId="0" applyFont="1" applyFill="1" applyBorder="1"/>
    <xf numFmtId="0" fontId="17" fillId="5" borderId="9" xfId="0" applyFont="1" applyFill="1" applyBorder="1"/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5" borderId="3" xfId="0" applyFont="1" applyFill="1" applyBorder="1" applyAlignment="1">
      <alignment vertical="center"/>
    </xf>
    <xf numFmtId="0" fontId="15" fillId="8" borderId="2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15" fillId="8" borderId="5" xfId="0" quotePrefix="1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3" fillId="8" borderId="6" xfId="0" applyFont="1" applyFill="1" applyBorder="1" applyAlignment="1">
      <alignment vertical="center"/>
    </xf>
    <xf numFmtId="0" fontId="17" fillId="8" borderId="5" xfId="0" quotePrefix="1" applyFont="1" applyFill="1" applyBorder="1" applyAlignment="1">
      <alignment vertical="center"/>
    </xf>
    <xf numFmtId="0" fontId="17" fillId="8" borderId="0" xfId="0" applyFont="1" applyFill="1" applyAlignment="1">
      <alignment vertical="center"/>
    </xf>
    <xf numFmtId="0" fontId="17" fillId="8" borderId="6" xfId="0" applyFont="1" applyFill="1" applyBorder="1" applyAlignment="1">
      <alignment vertical="center"/>
    </xf>
    <xf numFmtId="0" fontId="17" fillId="8" borderId="5" xfId="0" applyFont="1" applyFill="1" applyBorder="1" applyAlignment="1">
      <alignment vertical="center"/>
    </xf>
    <xf numFmtId="0" fontId="17" fillId="8" borderId="6" xfId="0" applyFont="1" applyFill="1" applyBorder="1"/>
    <xf numFmtId="0" fontId="18" fillId="8" borderId="5" xfId="0" applyFont="1" applyFill="1" applyBorder="1" applyAlignment="1">
      <alignment vertical="center"/>
    </xf>
    <xf numFmtId="3" fontId="18" fillId="8" borderId="0" xfId="0" applyNumberFormat="1" applyFont="1" applyFill="1" applyAlignment="1">
      <alignment horizontal="center" vertical="center"/>
    </xf>
    <xf numFmtId="0" fontId="18" fillId="8" borderId="6" xfId="0" applyFont="1" applyFill="1" applyBorder="1" applyAlignment="1">
      <alignment vertical="center"/>
    </xf>
    <xf numFmtId="3" fontId="17" fillId="8" borderId="0" xfId="0" applyNumberFormat="1" applyFont="1" applyFill="1" applyAlignment="1">
      <alignment vertical="center"/>
    </xf>
    <xf numFmtId="3" fontId="17" fillId="8" borderId="6" xfId="0" applyNumberFormat="1" applyFont="1" applyFill="1" applyBorder="1" applyAlignment="1">
      <alignment vertical="center" wrapText="1"/>
    </xf>
    <xf numFmtId="3" fontId="17" fillId="8" borderId="6" xfId="0" applyNumberFormat="1" applyFont="1" applyFill="1" applyBorder="1" applyAlignment="1">
      <alignment vertical="center"/>
    </xf>
    <xf numFmtId="0" fontId="16" fillId="8" borderId="5" xfId="0" applyFont="1" applyFill="1" applyBorder="1" applyAlignment="1">
      <alignment vertical="center"/>
    </xf>
    <xf numFmtId="3" fontId="16" fillId="8" borderId="1" xfId="0" applyNumberFormat="1" applyFont="1" applyFill="1" applyBorder="1" applyAlignment="1">
      <alignment vertical="center"/>
    </xf>
    <xf numFmtId="0" fontId="17" fillId="8" borderId="6" xfId="0" applyFont="1" applyFill="1" applyBorder="1" applyAlignment="1">
      <alignment horizontal="right"/>
    </xf>
    <xf numFmtId="3" fontId="17" fillId="8" borderId="6" xfId="0" applyNumberFormat="1" applyFont="1" applyFill="1" applyBorder="1" applyAlignment="1">
      <alignment horizontal="right"/>
    </xf>
    <xf numFmtId="3" fontId="18" fillId="8" borderId="6" xfId="0" applyNumberFormat="1" applyFont="1" applyFill="1" applyBorder="1" applyAlignment="1">
      <alignment vertical="center"/>
    </xf>
    <xf numFmtId="3" fontId="17" fillId="8" borderId="1" xfId="0" applyNumberFormat="1" applyFont="1" applyFill="1" applyBorder="1" applyAlignment="1">
      <alignment vertical="center"/>
    </xf>
    <xf numFmtId="0" fontId="19" fillId="8" borderId="6" xfId="0" applyFont="1" applyFill="1" applyBorder="1" applyAlignment="1">
      <alignment vertical="center"/>
    </xf>
    <xf numFmtId="0" fontId="17" fillId="8" borderId="0" xfId="0" applyFont="1" applyFill="1"/>
    <xf numFmtId="3" fontId="19" fillId="8" borderId="6" xfId="0" applyNumberFormat="1" applyFont="1" applyFill="1" applyBorder="1" applyAlignment="1">
      <alignment vertical="center"/>
    </xf>
    <xf numFmtId="0" fontId="17" fillId="8" borderId="5" xfId="0" applyFont="1" applyFill="1" applyBorder="1"/>
    <xf numFmtId="0" fontId="16" fillId="8" borderId="7" xfId="0" applyFont="1" applyFill="1" applyBorder="1" applyAlignment="1">
      <alignment vertical="center"/>
    </xf>
    <xf numFmtId="3" fontId="16" fillId="8" borderId="8" xfId="0" applyNumberFormat="1" applyFont="1" applyFill="1" applyBorder="1" applyAlignment="1">
      <alignment vertical="center"/>
    </xf>
    <xf numFmtId="0" fontId="17" fillId="8" borderId="8" xfId="0" applyFont="1" applyFill="1" applyBorder="1"/>
    <xf numFmtId="0" fontId="17" fillId="8" borderId="9" xfId="0" applyFont="1" applyFill="1" applyBorder="1"/>
    <xf numFmtId="0" fontId="18" fillId="4" borderId="6" xfId="0" applyFont="1" applyFill="1" applyBorder="1"/>
    <xf numFmtId="3" fontId="18" fillId="5" borderId="0" xfId="0" applyNumberFormat="1" applyFont="1" applyFill="1" applyAlignment="1">
      <alignment horizontal="right" vertical="center"/>
    </xf>
    <xf numFmtId="0" fontId="18" fillId="5" borderId="6" xfId="0" applyFont="1" applyFill="1" applyBorder="1"/>
    <xf numFmtId="0" fontId="16" fillId="8" borderId="6" xfId="0" applyFont="1" applyFill="1" applyBorder="1" applyAlignment="1">
      <alignment vertical="center"/>
    </xf>
    <xf numFmtId="3" fontId="16" fillId="8" borderId="6" xfId="0" applyNumberFormat="1" applyFont="1" applyFill="1" applyBorder="1" applyAlignment="1">
      <alignment vertical="center"/>
    </xf>
    <xf numFmtId="0" fontId="16" fillId="8" borderId="6" xfId="0" applyFont="1" applyFill="1" applyBorder="1" applyAlignment="1">
      <alignment horizontal="left"/>
    </xf>
    <xf numFmtId="3" fontId="18" fillId="8" borderId="6" xfId="0" quotePrefix="1" applyNumberFormat="1" applyFont="1" applyFill="1" applyBorder="1" applyAlignment="1">
      <alignment horizontal="right" vertical="center"/>
    </xf>
    <xf numFmtId="3" fontId="17" fillId="8" borderId="9" xfId="0" applyNumberFormat="1" applyFont="1" applyFill="1" applyBorder="1"/>
    <xf numFmtId="3" fontId="17" fillId="4" borderId="8" xfId="0" applyNumberFormat="1" applyFont="1" applyFill="1" applyBorder="1"/>
    <xf numFmtId="3" fontId="17" fillId="5" borderId="8" xfId="0" applyNumberFormat="1" applyFont="1" applyFill="1" applyBorder="1"/>
    <xf numFmtId="0" fontId="16" fillId="8" borderId="0" xfId="0" applyFont="1" applyFill="1" applyAlignment="1">
      <alignment vertical="center"/>
    </xf>
    <xf numFmtId="0" fontId="16" fillId="7" borderId="0" xfId="0" applyFont="1" applyFill="1"/>
    <xf numFmtId="0" fontId="16" fillId="4" borderId="0" xfId="0" applyFont="1" applyFill="1" applyAlignment="1">
      <alignment vertical="center"/>
    </xf>
    <xf numFmtId="0" fontId="16" fillId="5" borderId="0" xfId="0" applyFont="1" applyFill="1" applyAlignment="1">
      <alignment vertical="center"/>
    </xf>
    <xf numFmtId="3" fontId="16" fillId="8" borderId="6" xfId="0" quotePrefix="1" applyNumberFormat="1" applyFont="1" applyFill="1" applyBorder="1" applyAlignment="1">
      <alignment vertical="center"/>
    </xf>
    <xf numFmtId="0" fontId="16" fillId="4" borderId="6" xfId="0" applyFont="1" applyFill="1" applyBorder="1" applyAlignment="1">
      <alignment vertical="center"/>
    </xf>
    <xf numFmtId="4" fontId="17" fillId="7" borderId="0" xfId="0" applyNumberFormat="1" applyFont="1" applyFill="1"/>
    <xf numFmtId="0" fontId="16" fillId="8" borderId="7" xfId="0" applyFont="1" applyFill="1" applyBorder="1" applyAlignment="1">
      <alignment horizontal="right" vertical="center"/>
    </xf>
    <xf numFmtId="3" fontId="16" fillId="8" borderId="0" xfId="0" applyNumberFormat="1" applyFont="1" applyFill="1" applyAlignment="1">
      <alignment vertical="center"/>
    </xf>
    <xf numFmtId="0" fontId="16" fillId="8" borderId="0" xfId="0" applyFont="1" applyFill="1" applyAlignment="1">
      <alignment horizontal="right" vertical="center"/>
    </xf>
    <xf numFmtId="0" fontId="16" fillId="4" borderId="7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right" vertical="center"/>
    </xf>
    <xf numFmtId="3" fontId="16" fillId="4" borderId="3" xfId="0" applyNumberFormat="1" applyFont="1" applyFill="1" applyBorder="1" applyAlignment="1">
      <alignment vertical="center"/>
    </xf>
    <xf numFmtId="0" fontId="16" fillId="4" borderId="3" xfId="0" applyFont="1" applyFill="1" applyBorder="1" applyAlignment="1">
      <alignment horizontal="right" vertical="center"/>
    </xf>
    <xf numFmtId="0" fontId="16" fillId="5" borderId="2" xfId="0" applyFont="1" applyFill="1" applyBorder="1" applyAlignment="1">
      <alignment horizontal="right" vertical="center"/>
    </xf>
    <xf numFmtId="3" fontId="16" fillId="5" borderId="3" xfId="0" applyNumberFormat="1" applyFont="1" applyFill="1" applyBorder="1" applyAlignment="1">
      <alignment vertical="center"/>
    </xf>
    <xf numFmtId="0" fontId="16" fillId="5" borderId="3" xfId="0" applyFont="1" applyFill="1" applyBorder="1" applyAlignment="1">
      <alignment horizontal="right" vertical="center"/>
    </xf>
    <xf numFmtId="0" fontId="16" fillId="5" borderId="7" xfId="0" applyFont="1" applyFill="1" applyBorder="1" applyAlignment="1">
      <alignment horizontal="right" vertical="center"/>
    </xf>
    <xf numFmtId="4" fontId="0" fillId="0" borderId="0" xfId="0" applyNumberFormat="1"/>
    <xf numFmtId="17" fontId="0" fillId="0" borderId="0" xfId="0" applyNumberFormat="1"/>
    <xf numFmtId="0" fontId="0" fillId="0" borderId="10" xfId="0" applyBorder="1"/>
    <xf numFmtId="3" fontId="0" fillId="0" borderId="11" xfId="0" applyNumberFormat="1" applyBorder="1"/>
    <xf numFmtId="0" fontId="0" fillId="0" borderId="12" xfId="0" applyBorder="1"/>
    <xf numFmtId="3" fontId="0" fillId="0" borderId="13" xfId="0" applyNumberFormat="1" applyBorder="1"/>
    <xf numFmtId="0" fontId="0" fillId="0" borderId="14" xfId="0" applyBorder="1"/>
    <xf numFmtId="3" fontId="0" fillId="0" borderId="15" xfId="0" applyNumberFormat="1" applyBorder="1"/>
    <xf numFmtId="0" fontId="0" fillId="2" borderId="14" xfId="0" applyFill="1" applyBorder="1"/>
    <xf numFmtId="3" fontId="0" fillId="2" borderId="15" xfId="0" applyNumberFormat="1" applyFill="1" applyBorder="1"/>
    <xf numFmtId="0" fontId="0" fillId="2" borderId="12" xfId="0" applyFill="1" applyBorder="1"/>
    <xf numFmtId="3" fontId="0" fillId="2" borderId="13" xfId="0" applyNumberFormat="1" applyFill="1" applyBorder="1"/>
    <xf numFmtId="0" fontId="4" fillId="2" borderId="12" xfId="0" applyFont="1" applyFill="1" applyBorder="1" applyAlignment="1">
      <alignment wrapText="1"/>
    </xf>
    <xf numFmtId="3" fontId="4" fillId="2" borderId="13" xfId="0" applyNumberFormat="1" applyFont="1" applyFill="1" applyBorder="1"/>
    <xf numFmtId="3" fontId="23" fillId="8" borderId="1" xfId="0" applyNumberFormat="1" applyFont="1" applyFill="1" applyBorder="1" applyAlignment="1">
      <alignment vertical="center"/>
    </xf>
    <xf numFmtId="3" fontId="23" fillId="5" borderId="1" xfId="0" applyNumberFormat="1" applyFont="1" applyFill="1" applyBorder="1" applyAlignment="1">
      <alignment vertical="center"/>
    </xf>
    <xf numFmtId="3" fontId="16" fillId="4" borderId="6" xfId="0" quotePrefix="1" applyNumberFormat="1" applyFont="1" applyFill="1" applyBorder="1" applyAlignment="1">
      <alignment vertical="center"/>
    </xf>
    <xf numFmtId="3" fontId="23" fillId="4" borderId="1" xfId="0" applyNumberFormat="1" applyFont="1" applyFill="1" applyBorder="1" applyAlignment="1">
      <alignment vertical="center"/>
    </xf>
    <xf numFmtId="0" fontId="17" fillId="8" borderId="6" xfId="0" applyFont="1" applyFill="1" applyBorder="1" applyAlignment="1">
      <alignment vertical="center" wrapText="1"/>
    </xf>
    <xf numFmtId="0" fontId="17" fillId="4" borderId="4" xfId="0" applyFont="1" applyFill="1" applyBorder="1" applyAlignment="1">
      <alignment vertical="center" wrapText="1"/>
    </xf>
    <xf numFmtId="0" fontId="17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wrapText="1"/>
    </xf>
    <xf numFmtId="0" fontId="18" fillId="5" borderId="6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horizontal="left" vertical="center" wrapText="1"/>
    </xf>
    <xf numFmtId="3" fontId="17" fillId="5" borderId="6" xfId="0" applyNumberFormat="1" applyFont="1" applyFill="1" applyBorder="1" applyAlignment="1">
      <alignment horizontal="right" wrapText="1"/>
    </xf>
    <xf numFmtId="3" fontId="18" fillId="5" borderId="6" xfId="0" applyNumberFormat="1" applyFont="1" applyFill="1" applyBorder="1" applyAlignment="1">
      <alignment vertical="center" wrapText="1"/>
    </xf>
    <xf numFmtId="0" fontId="16" fillId="5" borderId="6" xfId="0" applyFont="1" applyFill="1" applyBorder="1" applyAlignment="1">
      <alignment vertical="center" wrapText="1"/>
    </xf>
    <xf numFmtId="3" fontId="16" fillId="5" borderId="6" xfId="0" quotePrefix="1" applyNumberFormat="1" applyFont="1" applyFill="1" applyBorder="1" applyAlignment="1">
      <alignment vertical="center" wrapText="1"/>
    </xf>
    <xf numFmtId="0" fontId="19" fillId="5" borderId="6" xfId="0" applyFont="1" applyFill="1" applyBorder="1" applyAlignment="1">
      <alignment vertical="center" wrapText="1"/>
    </xf>
    <xf numFmtId="3" fontId="19" fillId="5" borderId="6" xfId="0" applyNumberFormat="1" applyFont="1" applyFill="1" applyBorder="1" applyAlignment="1">
      <alignment vertical="center" wrapText="1"/>
    </xf>
    <xf numFmtId="0" fontId="17" fillId="5" borderId="9" xfId="0" applyFont="1" applyFill="1" applyBorder="1" applyAlignment="1">
      <alignment wrapText="1"/>
    </xf>
    <xf numFmtId="0" fontId="17" fillId="7" borderId="0" xfId="0" applyFont="1" applyFill="1" applyAlignment="1">
      <alignment wrapText="1"/>
    </xf>
    <xf numFmtId="4" fontId="17" fillId="7" borderId="0" xfId="0" applyNumberFormat="1" applyFont="1" applyFill="1" applyAlignment="1">
      <alignment wrapText="1"/>
    </xf>
    <xf numFmtId="0" fontId="0" fillId="0" borderId="15" xfId="0" applyBorder="1"/>
    <xf numFmtId="0" fontId="0" fillId="2" borderId="17" xfId="0" applyFill="1" applyBorder="1"/>
    <xf numFmtId="0" fontId="0" fillId="2" borderId="18" xfId="0" applyFill="1" applyBorder="1"/>
    <xf numFmtId="3" fontId="0" fillId="2" borderId="18" xfId="0" applyNumberFormat="1" applyFill="1" applyBorder="1"/>
    <xf numFmtId="0" fontId="4" fillId="0" borderId="10" xfId="0" applyFont="1" applyBorder="1"/>
    <xf numFmtId="0" fontId="4" fillId="9" borderId="17" xfId="0" applyFont="1" applyFill="1" applyBorder="1"/>
    <xf numFmtId="3" fontId="4" fillId="9" borderId="18" xfId="0" applyNumberFormat="1" applyFont="1" applyFill="1" applyBorder="1"/>
    <xf numFmtId="0" fontId="4" fillId="10" borderId="17" xfId="0" applyFont="1" applyFill="1" applyBorder="1"/>
    <xf numFmtId="3" fontId="4" fillId="10" borderId="18" xfId="0" applyNumberFormat="1" applyFont="1" applyFill="1" applyBorder="1"/>
    <xf numFmtId="0" fontId="4" fillId="10" borderId="12" xfId="0" applyFont="1" applyFill="1" applyBorder="1"/>
    <xf numFmtId="3" fontId="4" fillId="10" borderId="13" xfId="0" applyNumberFormat="1" applyFont="1" applyFill="1" applyBorder="1"/>
    <xf numFmtId="165" fontId="0" fillId="0" borderId="0" xfId="6" applyNumberFormat="1" applyFont="1"/>
    <xf numFmtId="0" fontId="10" fillId="0" borderId="0" xfId="0" applyFont="1"/>
    <xf numFmtId="0" fontId="15" fillId="0" borderId="16" xfId="0" applyFont="1" applyBorder="1" applyAlignment="1">
      <alignment horizontal="center"/>
    </xf>
    <xf numFmtId="0" fontId="15" fillId="0" borderId="16" xfId="0" applyFont="1" applyBorder="1"/>
    <xf numFmtId="3" fontId="15" fillId="0" borderId="16" xfId="0" applyNumberFormat="1" applyFont="1" applyBorder="1"/>
    <xf numFmtId="0" fontId="23" fillId="5" borderId="6" xfId="0" applyFont="1" applyFill="1" applyBorder="1" applyAlignment="1">
      <alignment vertical="center" wrapText="1"/>
    </xf>
    <xf numFmtId="3" fontId="22" fillId="5" borderId="0" xfId="0" applyNumberFormat="1" applyFont="1" applyFill="1" applyAlignment="1">
      <alignment vertical="center"/>
    </xf>
    <xf numFmtId="0" fontId="4" fillId="0" borderId="0" xfId="0" applyFont="1"/>
    <xf numFmtId="0" fontId="0" fillId="0" borderId="16" xfId="0" applyBorder="1"/>
    <xf numFmtId="0" fontId="4" fillId="0" borderId="16" xfId="0" applyFont="1" applyBorder="1"/>
    <xf numFmtId="3" fontId="0" fillId="0" borderId="16" xfId="0" applyNumberFormat="1" applyBorder="1"/>
    <xf numFmtId="0" fontId="25" fillId="0" borderId="0" xfId="0" applyFont="1"/>
    <xf numFmtId="0" fontId="26" fillId="0" borderId="0" xfId="0" applyFont="1"/>
    <xf numFmtId="0" fontId="0" fillId="0" borderId="19" xfId="0" applyBorder="1"/>
    <xf numFmtId="0" fontId="26" fillId="0" borderId="20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27" fillId="0" borderId="33" xfId="0" applyFont="1" applyBorder="1"/>
    <xf numFmtId="0" fontId="27" fillId="0" borderId="34" xfId="0" applyFont="1" applyBorder="1"/>
    <xf numFmtId="3" fontId="27" fillId="0" borderId="33" xfId="0" applyNumberFormat="1" applyFont="1" applyBorder="1"/>
    <xf numFmtId="3" fontId="27" fillId="0" borderId="35" xfId="0" applyNumberFormat="1" applyFont="1" applyBorder="1"/>
    <xf numFmtId="3" fontId="27" fillId="0" borderId="36" xfId="0" applyNumberFormat="1" applyFont="1" applyBorder="1"/>
    <xf numFmtId="0" fontId="27" fillId="0" borderId="37" xfId="0" applyFont="1" applyBorder="1"/>
    <xf numFmtId="0" fontId="27" fillId="0" borderId="38" xfId="0" applyFont="1" applyBorder="1"/>
    <xf numFmtId="3" fontId="27" fillId="0" borderId="37" xfId="0" applyNumberFormat="1" applyFont="1" applyBorder="1"/>
    <xf numFmtId="3" fontId="27" fillId="0" borderId="39" xfId="0" applyNumberFormat="1" applyFont="1" applyBorder="1"/>
    <xf numFmtId="3" fontId="27" fillId="0" borderId="40" xfId="0" applyNumberFormat="1" applyFont="1" applyBorder="1"/>
    <xf numFmtId="0" fontId="28" fillId="0" borderId="37" xfId="0" applyFont="1" applyBorder="1"/>
    <xf numFmtId="0" fontId="28" fillId="0" borderId="38" xfId="0" applyFont="1" applyBorder="1"/>
    <xf numFmtId="3" fontId="28" fillId="0" borderId="37" xfId="0" applyNumberFormat="1" applyFont="1" applyBorder="1"/>
    <xf numFmtId="3" fontId="28" fillId="0" borderId="39" xfId="0" applyNumberFormat="1" applyFont="1" applyBorder="1"/>
    <xf numFmtId="3" fontId="28" fillId="0" borderId="40" xfId="0" applyNumberFormat="1" applyFont="1" applyBorder="1"/>
    <xf numFmtId="0" fontId="29" fillId="0" borderId="37" xfId="0" applyFont="1" applyBorder="1"/>
    <xf numFmtId="0" fontId="29" fillId="0" borderId="38" xfId="0" applyFont="1" applyBorder="1"/>
    <xf numFmtId="3" fontId="29" fillId="0" borderId="37" xfId="0" applyNumberFormat="1" applyFont="1" applyBorder="1"/>
    <xf numFmtId="3" fontId="29" fillId="0" borderId="39" xfId="0" applyNumberFormat="1" applyFont="1" applyBorder="1"/>
    <xf numFmtId="3" fontId="29" fillId="0" borderId="40" xfId="0" applyNumberFormat="1" applyFont="1" applyBorder="1"/>
    <xf numFmtId="0" fontId="29" fillId="0" borderId="41" xfId="0" applyFont="1" applyBorder="1"/>
    <xf numFmtId="0" fontId="29" fillId="0" borderId="42" xfId="0" applyFont="1" applyBorder="1"/>
    <xf numFmtId="3" fontId="29" fillId="0" borderId="41" xfId="0" applyNumberFormat="1" applyFont="1" applyBorder="1"/>
    <xf numFmtId="3" fontId="29" fillId="0" borderId="43" xfId="0" applyNumberFormat="1" applyFont="1" applyBorder="1"/>
    <xf numFmtId="3" fontId="29" fillId="0" borderId="44" xfId="0" applyNumberFormat="1" applyFont="1" applyBorder="1"/>
    <xf numFmtId="0" fontId="30" fillId="0" borderId="45" xfId="0" applyFont="1" applyBorder="1"/>
    <xf numFmtId="0" fontId="30" fillId="0" borderId="46" xfId="0" quotePrefix="1" applyFont="1" applyBorder="1"/>
    <xf numFmtId="3" fontId="30" fillId="0" borderId="45" xfId="0" applyNumberFormat="1" applyFont="1" applyBorder="1"/>
    <xf numFmtId="3" fontId="30" fillId="0" borderId="47" xfId="0" applyNumberFormat="1" applyFont="1" applyBorder="1"/>
    <xf numFmtId="3" fontId="30" fillId="0" borderId="48" xfId="0" applyNumberFormat="1" applyFont="1" applyBorder="1"/>
    <xf numFmtId="0" fontId="0" fillId="0" borderId="49" xfId="0" applyBorder="1"/>
    <xf numFmtId="0" fontId="30" fillId="0" borderId="20" xfId="0" applyFont="1" applyBorder="1"/>
    <xf numFmtId="3" fontId="30" fillId="0" borderId="20" xfId="0" applyNumberFormat="1" applyFont="1" applyBorder="1"/>
    <xf numFmtId="0" fontId="0" fillId="0" borderId="50" xfId="0" applyBorder="1"/>
    <xf numFmtId="0" fontId="30" fillId="0" borderId="0" xfId="0" applyFont="1"/>
    <xf numFmtId="3" fontId="30" fillId="0" borderId="0" xfId="0" applyNumberFormat="1" applyFont="1"/>
    <xf numFmtId="0" fontId="30" fillId="0" borderId="0" xfId="0" quotePrefix="1" applyFont="1"/>
    <xf numFmtId="0" fontId="7" fillId="0" borderId="52" xfId="0" applyFont="1" applyBorder="1"/>
    <xf numFmtId="3" fontId="7" fillId="0" borderId="15" xfId="0" applyNumberFormat="1" applyFont="1" applyBorder="1"/>
    <xf numFmtId="0" fontId="7" fillId="0" borderId="51" xfId="0" applyFont="1" applyBorder="1"/>
    <xf numFmtId="3" fontId="7" fillId="0" borderId="13" xfId="0" applyNumberFormat="1" applyFont="1" applyBorder="1"/>
    <xf numFmtId="0" fontId="31" fillId="0" borderId="16" xfId="0" applyFont="1" applyBorder="1"/>
    <xf numFmtId="3" fontId="31" fillId="0" borderId="18" xfId="0" applyNumberFormat="1" applyFont="1" applyBorder="1"/>
    <xf numFmtId="0" fontId="31" fillId="0" borderId="18" xfId="0" applyFont="1" applyBorder="1" applyAlignment="1">
      <alignment horizontal="center"/>
    </xf>
    <xf numFmtId="3" fontId="27" fillId="11" borderId="37" xfId="0" applyNumberFormat="1" applyFont="1" applyFill="1" applyBorder="1"/>
    <xf numFmtId="3" fontId="28" fillId="11" borderId="37" xfId="0" applyNumberFormat="1" applyFont="1" applyFill="1" applyBorder="1"/>
    <xf numFmtId="3" fontId="29" fillId="11" borderId="37" xfId="0" applyNumberFormat="1" applyFont="1" applyFill="1" applyBorder="1"/>
    <xf numFmtId="3" fontId="29" fillId="11" borderId="41" xfId="0" applyNumberFormat="1" applyFont="1" applyFill="1" applyBorder="1"/>
    <xf numFmtId="3" fontId="27" fillId="11" borderId="33" xfId="0" applyNumberFormat="1" applyFont="1" applyFill="1" applyBorder="1"/>
    <xf numFmtId="0" fontId="2" fillId="8" borderId="4" xfId="0" applyFont="1" applyFill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wrapText="1"/>
    </xf>
    <xf numFmtId="3" fontId="17" fillId="4" borderId="0" xfId="0" applyNumberFormat="1" applyFont="1" applyFill="1" applyAlignment="1">
      <alignment vertical="center" wrapText="1"/>
    </xf>
    <xf numFmtId="3" fontId="16" fillId="5" borderId="0" xfId="0" applyNumberFormat="1" applyFont="1" applyFill="1" applyAlignment="1">
      <alignment vertical="center"/>
    </xf>
    <xf numFmtId="0" fontId="19" fillId="5" borderId="6" xfId="0" applyFont="1" applyFill="1" applyBorder="1" applyAlignment="1">
      <alignment vertical="center"/>
    </xf>
    <xf numFmtId="0" fontId="17" fillId="4" borderId="6" xfId="0" applyFont="1" applyFill="1" applyBorder="1" applyAlignment="1">
      <alignment vertical="center" wrapText="1"/>
    </xf>
    <xf numFmtId="3" fontId="0" fillId="11" borderId="16" xfId="0" applyNumberFormat="1" applyFill="1" applyBorder="1"/>
    <xf numFmtId="4" fontId="32" fillId="0" borderId="13" xfId="0" applyNumberFormat="1" applyFont="1" applyBorder="1" applyAlignment="1">
      <alignment horizontal="right" wrapText="1"/>
    </xf>
    <xf numFmtId="0" fontId="0" fillId="0" borderId="10" xfId="0" applyBorder="1" applyAlignment="1">
      <alignment wrapText="1"/>
    </xf>
    <xf numFmtId="0" fontId="0" fillId="0" borderId="53" xfId="0" applyBorder="1" applyAlignment="1">
      <alignment wrapText="1"/>
    </xf>
    <xf numFmtId="43" fontId="0" fillId="0" borderId="0" xfId="6" applyFont="1" applyBorder="1"/>
    <xf numFmtId="43" fontId="0" fillId="0" borderId="1" xfId="6" applyFont="1" applyBorder="1"/>
    <xf numFmtId="43" fontId="0" fillId="0" borderId="53" xfId="6" applyFont="1" applyBorder="1"/>
    <xf numFmtId="0" fontId="0" fillId="0" borderId="54" xfId="0" applyBorder="1" applyAlignment="1">
      <alignment wrapText="1"/>
    </xf>
    <xf numFmtId="17" fontId="0" fillId="0" borderId="54" xfId="0" applyNumberFormat="1" applyBorder="1"/>
    <xf numFmtId="17" fontId="0" fillId="0" borderId="51" xfId="0" applyNumberFormat="1" applyBorder="1"/>
    <xf numFmtId="17" fontId="0" fillId="0" borderId="52" xfId="0" applyNumberFormat="1" applyBorder="1"/>
    <xf numFmtId="43" fontId="0" fillId="0" borderId="54" xfId="6" applyFont="1" applyBorder="1"/>
    <xf numFmtId="43" fontId="0" fillId="0" borderId="51" xfId="6" applyFont="1" applyBorder="1"/>
    <xf numFmtId="43" fontId="0" fillId="0" borderId="52" xfId="6" applyFont="1" applyBorder="1"/>
    <xf numFmtId="3" fontId="17" fillId="8" borderId="5" xfId="0" applyNumberFormat="1" applyFont="1" applyFill="1" applyBorder="1" applyAlignment="1">
      <alignment vertical="center"/>
    </xf>
    <xf numFmtId="0" fontId="33" fillId="8" borderId="5" xfId="0" applyFont="1" applyFill="1" applyBorder="1" applyAlignment="1">
      <alignment vertical="center"/>
    </xf>
    <xf numFmtId="3" fontId="33" fillId="8" borderId="1" xfId="0" applyNumberFormat="1" applyFont="1" applyFill="1" applyBorder="1" applyAlignment="1">
      <alignment vertical="center"/>
    </xf>
    <xf numFmtId="0" fontId="33" fillId="8" borderId="0" xfId="0" applyFont="1" applyFill="1" applyAlignment="1">
      <alignment vertical="center"/>
    </xf>
    <xf numFmtId="0" fontId="33" fillId="8" borderId="6" xfId="0" applyFont="1" applyFill="1" applyBorder="1" applyAlignment="1">
      <alignment vertical="center"/>
    </xf>
    <xf numFmtId="0" fontId="33" fillId="7" borderId="0" xfId="0" applyFont="1" applyFill="1"/>
    <xf numFmtId="0" fontId="33" fillId="4" borderId="5" xfId="0" applyFont="1" applyFill="1" applyBorder="1" applyAlignment="1">
      <alignment vertical="center"/>
    </xf>
    <xf numFmtId="3" fontId="33" fillId="4" borderId="1" xfId="0" applyNumberFormat="1" applyFont="1" applyFill="1" applyBorder="1" applyAlignment="1">
      <alignment vertical="center"/>
    </xf>
    <xf numFmtId="0" fontId="33" fillId="4" borderId="0" xfId="0" applyFont="1" applyFill="1" applyAlignment="1">
      <alignment vertical="center"/>
    </xf>
    <xf numFmtId="0" fontId="33" fillId="4" borderId="6" xfId="0" applyFont="1" applyFill="1" applyBorder="1" applyAlignment="1">
      <alignment vertical="center"/>
    </xf>
    <xf numFmtId="0" fontId="33" fillId="5" borderId="5" xfId="0" applyFont="1" applyFill="1" applyBorder="1" applyAlignment="1">
      <alignment vertical="center"/>
    </xf>
    <xf numFmtId="3" fontId="33" fillId="5" borderId="1" xfId="0" applyNumberFormat="1" applyFont="1" applyFill="1" applyBorder="1" applyAlignment="1">
      <alignment vertical="center"/>
    </xf>
    <xf numFmtId="0" fontId="33" fillId="5" borderId="0" xfId="0" applyFont="1" applyFill="1" applyAlignment="1">
      <alignment vertical="center"/>
    </xf>
    <xf numFmtId="0" fontId="33" fillId="5" borderId="6" xfId="0" applyFont="1" applyFill="1" applyBorder="1" applyAlignment="1">
      <alignment vertical="center" wrapText="1"/>
    </xf>
    <xf numFmtId="3" fontId="34" fillId="0" borderId="35" xfId="0" applyNumberFormat="1" applyFont="1" applyBorder="1"/>
    <xf numFmtId="3" fontId="29" fillId="0" borderId="35" xfId="0" applyNumberFormat="1" applyFont="1" applyBorder="1"/>
    <xf numFmtId="0" fontId="0" fillId="0" borderId="17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55" xfId="0" applyBorder="1" applyAlignment="1">
      <alignment wrapText="1"/>
    </xf>
    <xf numFmtId="3" fontId="27" fillId="11" borderId="39" xfId="0" applyNumberFormat="1" applyFont="1" applyFill="1" applyBorder="1"/>
    <xf numFmtId="3" fontId="7" fillId="0" borderId="52" xfId="0" applyNumberFormat="1" applyFont="1" applyBorder="1"/>
    <xf numFmtId="0" fontId="23" fillId="8" borderId="5" xfId="0" applyFont="1" applyFill="1" applyBorder="1" applyAlignment="1">
      <alignment vertical="center"/>
    </xf>
    <xf numFmtId="0" fontId="35" fillId="0" borderId="0" xfId="0" applyFont="1" applyAlignment="1">
      <alignment wrapText="1"/>
    </xf>
    <xf numFmtId="8" fontId="0" fillId="0" borderId="0" xfId="0" applyNumberFormat="1"/>
    <xf numFmtId="0" fontId="36" fillId="11" borderId="0" xfId="0" applyFont="1" applyFill="1"/>
    <xf numFmtId="8" fontId="0" fillId="11" borderId="0" xfId="0" applyNumberFormat="1" applyFill="1"/>
    <xf numFmtId="3" fontId="0" fillId="11" borderId="0" xfId="0" applyNumberFormat="1" applyFill="1"/>
    <xf numFmtId="0" fontId="0" fillId="11" borderId="0" xfId="0" applyFill="1"/>
    <xf numFmtId="0" fontId="37" fillId="11" borderId="0" xfId="0" applyFont="1" applyFill="1"/>
    <xf numFmtId="16" fontId="0" fillId="0" borderId="0" xfId="0" applyNumberFormat="1"/>
    <xf numFmtId="0" fontId="35" fillId="11" borderId="0" xfId="0" applyFont="1" applyFill="1"/>
    <xf numFmtId="0" fontId="3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7" fillId="4" borderId="15" xfId="0" applyFont="1" applyFill="1" applyBorder="1" applyAlignment="1">
      <alignment wrapText="1"/>
    </xf>
    <xf numFmtId="0" fontId="36" fillId="11" borderId="0" xfId="0" applyFont="1" applyFill="1" applyAlignment="1">
      <alignment wrapText="1"/>
    </xf>
    <xf numFmtId="3" fontId="38" fillId="11" borderId="0" xfId="0" applyNumberFormat="1" applyFont="1" applyFill="1"/>
    <xf numFmtId="0" fontId="38" fillId="11" borderId="0" xfId="0" applyFont="1" applyFill="1"/>
    <xf numFmtId="0" fontId="37" fillId="11" borderId="0" xfId="0" applyFont="1" applyFill="1" applyAlignment="1">
      <alignment wrapText="1"/>
    </xf>
    <xf numFmtId="0" fontId="35" fillId="11" borderId="0" xfId="0" applyFont="1" applyFill="1" applyAlignment="1">
      <alignment wrapText="1"/>
    </xf>
    <xf numFmtId="3" fontId="23" fillId="8" borderId="0" xfId="0" applyNumberFormat="1" applyFont="1" applyFill="1" applyAlignment="1">
      <alignment vertical="center"/>
    </xf>
    <xf numFmtId="0" fontId="23" fillId="4" borderId="5" xfId="0" applyFont="1" applyFill="1" applyBorder="1" applyAlignment="1">
      <alignment vertical="center"/>
    </xf>
    <xf numFmtId="3" fontId="23" fillId="4" borderId="0" xfId="0" applyNumberFormat="1" applyFont="1" applyFill="1" applyAlignment="1">
      <alignment vertical="center"/>
    </xf>
    <xf numFmtId="0" fontId="23" fillId="5" borderId="5" xfId="0" applyFont="1" applyFill="1" applyBorder="1" applyAlignment="1">
      <alignment vertical="center"/>
    </xf>
    <xf numFmtId="0" fontId="0" fillId="11" borderId="0" xfId="0" applyFill="1" applyAlignment="1">
      <alignment horizontal="right"/>
    </xf>
    <xf numFmtId="166" fontId="0" fillId="11" borderId="0" xfId="0" applyNumberFormat="1" applyFill="1"/>
    <xf numFmtId="0" fontId="38" fillId="11" borderId="0" xfId="0" applyFont="1" applyFill="1" applyAlignment="1">
      <alignment wrapText="1"/>
    </xf>
    <xf numFmtId="0" fontId="31" fillId="0" borderId="54" xfId="0" applyFont="1" applyBorder="1" applyAlignment="1">
      <alignment horizontal="center" vertical="center" wrapText="1" readingOrder="1"/>
    </xf>
    <xf numFmtId="0" fontId="31" fillId="0" borderId="11" xfId="0" applyFont="1" applyBorder="1" applyAlignment="1">
      <alignment horizontal="center" vertical="center" wrapText="1" readingOrder="1"/>
    </xf>
    <xf numFmtId="0" fontId="7" fillId="0" borderId="54" xfId="0" applyFont="1" applyBorder="1" applyAlignment="1">
      <alignment horizontal="left" vertical="center" wrapText="1" indent="1" readingOrder="1"/>
    </xf>
    <xf numFmtId="3" fontId="7" fillId="0" borderId="54" xfId="0" applyNumberFormat="1" applyFont="1" applyBorder="1" applyAlignment="1">
      <alignment horizontal="center" wrapText="1" readingOrder="1"/>
    </xf>
    <xf numFmtId="3" fontId="7" fillId="0" borderId="11" xfId="0" applyNumberFormat="1" applyFont="1" applyBorder="1" applyAlignment="1">
      <alignment horizontal="center" wrapText="1" readingOrder="1"/>
    </xf>
    <xf numFmtId="0" fontId="7" fillId="0" borderId="52" xfId="0" applyFont="1" applyBorder="1" applyAlignment="1">
      <alignment horizontal="left" vertical="center" wrapText="1" indent="1" readingOrder="1"/>
    </xf>
    <xf numFmtId="3" fontId="7" fillId="0" borderId="52" xfId="0" applyNumberFormat="1" applyFont="1" applyBorder="1" applyAlignment="1">
      <alignment horizontal="center" wrapText="1" readingOrder="1"/>
    </xf>
    <xf numFmtId="3" fontId="7" fillId="0" borderId="15" xfId="0" applyNumberFormat="1" applyFont="1" applyBorder="1" applyAlignment="1">
      <alignment horizontal="center" wrapText="1" readingOrder="1"/>
    </xf>
    <xf numFmtId="0" fontId="7" fillId="0" borderId="15" xfId="0" applyFont="1" applyBorder="1" applyAlignment="1">
      <alignment horizontal="center" wrapText="1" readingOrder="1"/>
    </xf>
    <xf numFmtId="0" fontId="7" fillId="0" borderId="52" xfId="0" applyFont="1" applyBorder="1" applyAlignment="1">
      <alignment horizontal="left" wrapText="1" indent="1" readingOrder="1"/>
    </xf>
    <xf numFmtId="0" fontId="7" fillId="0" borderId="51" xfId="0" applyFont="1" applyBorder="1" applyAlignment="1">
      <alignment horizontal="left" vertical="center" wrapText="1" indent="1" readingOrder="1"/>
    </xf>
    <xf numFmtId="3" fontId="7" fillId="0" borderId="51" xfId="0" applyNumberFormat="1" applyFont="1" applyBorder="1" applyAlignment="1">
      <alignment horizontal="center" wrapText="1" readingOrder="1"/>
    </xf>
    <xf numFmtId="3" fontId="7" fillId="0" borderId="13" xfId="0" applyNumberFormat="1" applyFont="1" applyBorder="1" applyAlignment="1">
      <alignment horizontal="center" wrapText="1" readingOrder="1"/>
    </xf>
    <xf numFmtId="0" fontId="7" fillId="0" borderId="13" xfId="0" applyFont="1" applyBorder="1" applyAlignment="1">
      <alignment horizontal="center" vertical="center" wrapText="1" readingOrder="1"/>
    </xf>
    <xf numFmtId="0" fontId="0" fillId="11" borderId="0" xfId="0" quotePrefix="1" applyFill="1"/>
    <xf numFmtId="0" fontId="7" fillId="0" borderId="52" xfId="0" applyFont="1" applyBorder="1" applyAlignment="1">
      <alignment horizontal="center" wrapText="1" readingOrder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7" fillId="0" borderId="0" xfId="0" applyFont="1" applyAlignment="1">
      <alignment horizontal="left" vertical="center" wrapText="1" indent="1" readingOrder="1"/>
    </xf>
    <xf numFmtId="3" fontId="7" fillId="0" borderId="0" xfId="0" applyNumberFormat="1" applyFont="1" applyAlignment="1">
      <alignment horizontal="center" wrapText="1" readingOrder="1"/>
    </xf>
    <xf numFmtId="0" fontId="31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center" wrapText="1" readingOrder="1"/>
    </xf>
    <xf numFmtId="0" fontId="1" fillId="0" borderId="16" xfId="0" applyFont="1" applyBorder="1"/>
    <xf numFmtId="3" fontId="1" fillId="0" borderId="16" xfId="0" applyNumberFormat="1" applyFont="1" applyBorder="1"/>
    <xf numFmtId="3" fontId="1" fillId="0" borderId="0" xfId="0" applyNumberFormat="1" applyFont="1"/>
    <xf numFmtId="0" fontId="1" fillId="0" borderId="0" xfId="0" applyFont="1"/>
    <xf numFmtId="0" fontId="1" fillId="14" borderId="0" xfId="0" applyFont="1" applyFill="1"/>
    <xf numFmtId="17" fontId="1" fillId="0" borderId="0" xfId="0" applyNumberFormat="1" applyFont="1"/>
    <xf numFmtId="0" fontId="1" fillId="13" borderId="0" xfId="0" applyFont="1" applyFill="1"/>
    <xf numFmtId="0" fontId="1" fillId="12" borderId="0" xfId="0" applyFont="1" applyFill="1"/>
    <xf numFmtId="0" fontId="15" fillId="0" borderId="0" xfId="0" applyFont="1"/>
    <xf numFmtId="0" fontId="17" fillId="8" borderId="5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wrapText="1" indent="1" readingOrder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11" borderId="0" xfId="0" applyFont="1" applyFill="1"/>
    <xf numFmtId="3" fontId="7" fillId="0" borderId="0" xfId="0" applyNumberFormat="1" applyFont="1"/>
    <xf numFmtId="0" fontId="40" fillId="0" borderId="0" xfId="0" applyFont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 readingOrder="1"/>
    </xf>
    <xf numFmtId="0" fontId="31" fillId="0" borderId="58" xfId="0" applyFont="1" applyBorder="1" applyAlignment="1">
      <alignment horizontal="center" vertical="center" wrapText="1" readingOrder="1"/>
    </xf>
    <xf numFmtId="0" fontId="40" fillId="0" borderId="0" xfId="0" applyFont="1"/>
    <xf numFmtId="0" fontId="31" fillId="0" borderId="59" xfId="0" applyFont="1" applyBorder="1" applyAlignment="1">
      <alignment horizontal="center" vertical="center"/>
    </xf>
    <xf numFmtId="3" fontId="7" fillId="0" borderId="60" xfId="0" applyNumberFormat="1" applyFont="1" applyBorder="1" applyAlignment="1">
      <alignment horizontal="center" vertical="center"/>
    </xf>
    <xf numFmtId="3" fontId="7" fillId="0" borderId="61" xfId="0" applyNumberFormat="1" applyFont="1" applyBorder="1" applyAlignment="1">
      <alignment horizontal="center" vertical="center"/>
    </xf>
    <xf numFmtId="3" fontId="31" fillId="0" borderId="60" xfId="0" applyNumberFormat="1" applyFont="1" applyBorder="1" applyAlignment="1">
      <alignment horizontal="center" vertical="center"/>
    </xf>
    <xf numFmtId="3" fontId="31" fillId="0" borderId="61" xfId="0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/>
    </xf>
    <xf numFmtId="3" fontId="31" fillId="0" borderId="63" xfId="0" applyNumberFormat="1" applyFont="1" applyBorder="1" applyAlignment="1">
      <alignment horizontal="center" vertical="center"/>
    </xf>
    <xf numFmtId="3" fontId="31" fillId="0" borderId="64" xfId="0" applyNumberFormat="1" applyFont="1" applyBorder="1" applyAlignment="1">
      <alignment horizontal="center" vertical="center"/>
    </xf>
    <xf numFmtId="0" fontId="31" fillId="0" borderId="56" xfId="0" applyFont="1" applyBorder="1" applyAlignment="1">
      <alignment vertical="center"/>
    </xf>
    <xf numFmtId="0" fontId="7" fillId="3" borderId="60" xfId="0" applyFont="1" applyFill="1" applyBorder="1" applyAlignment="1">
      <alignment horizontal="left" vertical="center" wrapText="1" indent="1" readingOrder="1"/>
    </xf>
    <xf numFmtId="3" fontId="7" fillId="3" borderId="60" xfId="0" applyNumberFormat="1" applyFont="1" applyFill="1" applyBorder="1" applyAlignment="1">
      <alignment horizontal="center" vertical="center" wrapText="1" readingOrder="1"/>
    </xf>
    <xf numFmtId="3" fontId="7" fillId="3" borderId="61" xfId="0" applyNumberFormat="1" applyFont="1" applyFill="1" applyBorder="1" applyAlignment="1">
      <alignment horizontal="center" vertical="center" wrapText="1" readingOrder="1"/>
    </xf>
    <xf numFmtId="0" fontId="7" fillId="0" borderId="60" xfId="0" applyFont="1" applyBorder="1" applyAlignment="1">
      <alignment horizontal="left" vertical="center" wrapText="1" indent="1" readingOrder="1"/>
    </xf>
    <xf numFmtId="3" fontId="7" fillId="0" borderId="60" xfId="0" applyNumberFormat="1" applyFont="1" applyBorder="1" applyAlignment="1">
      <alignment horizontal="center" vertical="center" wrapText="1" readingOrder="1"/>
    </xf>
    <xf numFmtId="3" fontId="7" fillId="0" borderId="61" xfId="0" applyNumberFormat="1" applyFont="1" applyBorder="1" applyAlignment="1">
      <alignment horizontal="center" vertical="center" wrapText="1" readingOrder="1"/>
    </xf>
    <xf numFmtId="0" fontId="7" fillId="3" borderId="60" xfId="0" applyFont="1" applyFill="1" applyBorder="1" applyAlignment="1">
      <alignment horizontal="left" wrapText="1" indent="1" readingOrder="1"/>
    </xf>
    <xf numFmtId="0" fontId="7" fillId="0" borderId="60" xfId="0" applyFont="1" applyBorder="1" applyAlignment="1">
      <alignment horizontal="left" wrapText="1" indent="1" readingOrder="1"/>
    </xf>
    <xf numFmtId="0" fontId="7" fillId="0" borderId="60" xfId="0" applyFont="1" applyBorder="1" applyAlignment="1">
      <alignment horizontal="center" vertical="center" wrapText="1" readingOrder="1"/>
    </xf>
    <xf numFmtId="0" fontId="7" fillId="3" borderId="63" xfId="0" applyFont="1" applyFill="1" applyBorder="1" applyAlignment="1">
      <alignment horizontal="left" wrapText="1" indent="1" readingOrder="1"/>
    </xf>
    <xf numFmtId="3" fontId="7" fillId="3" borderId="63" xfId="0" applyNumberFormat="1" applyFont="1" applyFill="1" applyBorder="1" applyAlignment="1">
      <alignment horizontal="center" vertical="center" wrapText="1" readingOrder="1"/>
    </xf>
    <xf numFmtId="3" fontId="7" fillId="3" borderId="64" xfId="0" applyNumberFormat="1" applyFont="1" applyFill="1" applyBorder="1" applyAlignment="1">
      <alignment horizontal="center" vertical="center" wrapText="1" readingOrder="1"/>
    </xf>
    <xf numFmtId="0" fontId="7" fillId="3" borderId="57" xfId="0" applyFont="1" applyFill="1" applyBorder="1" applyAlignment="1">
      <alignment horizontal="left" vertical="center" wrapText="1" indent="1" readingOrder="1"/>
    </xf>
    <xf numFmtId="3" fontId="7" fillId="3" borderId="57" xfId="0" applyNumberFormat="1" applyFont="1" applyFill="1" applyBorder="1" applyAlignment="1">
      <alignment horizontal="center" vertical="center" wrapText="1" readingOrder="1"/>
    </xf>
    <xf numFmtId="3" fontId="7" fillId="3" borderId="58" xfId="0" applyNumberFormat="1" applyFont="1" applyFill="1" applyBorder="1" applyAlignment="1">
      <alignment horizontal="center" vertical="center" wrapText="1" readingOrder="1"/>
    </xf>
    <xf numFmtId="0" fontId="7" fillId="0" borderId="63" xfId="0" applyFont="1" applyBorder="1" applyAlignment="1">
      <alignment horizontal="left" vertical="center" wrapText="1" indent="1" readingOrder="1"/>
    </xf>
    <xf numFmtId="3" fontId="7" fillId="0" borderId="63" xfId="0" applyNumberFormat="1" applyFont="1" applyBorder="1" applyAlignment="1">
      <alignment horizontal="center" vertical="center" wrapText="1" readingOrder="1"/>
    </xf>
    <xf numFmtId="3" fontId="7" fillId="0" borderId="64" xfId="0" applyNumberFormat="1" applyFont="1" applyBorder="1" applyAlignment="1">
      <alignment horizontal="center" vertical="center" wrapText="1" readingOrder="1"/>
    </xf>
    <xf numFmtId="0" fontId="31" fillId="3" borderId="65" xfId="0" applyFont="1" applyFill="1" applyBorder="1" applyAlignment="1">
      <alignment horizontal="left" vertical="center" wrapText="1" indent="1" readingOrder="1"/>
    </xf>
    <xf numFmtId="3" fontId="31" fillId="3" borderId="65" xfId="0" applyNumberFormat="1" applyFont="1" applyFill="1" applyBorder="1" applyAlignment="1">
      <alignment horizontal="center" vertical="center"/>
    </xf>
    <xf numFmtId="3" fontId="31" fillId="3" borderId="67" xfId="0" applyNumberFormat="1" applyFont="1" applyFill="1" applyBorder="1" applyAlignment="1">
      <alignment horizontal="center" vertical="center"/>
    </xf>
    <xf numFmtId="0" fontId="31" fillId="0" borderId="63" xfId="0" applyFont="1" applyBorder="1" applyAlignment="1">
      <alignment horizontal="left" vertical="center" wrapText="1" indent="1" readingOrder="1"/>
    </xf>
    <xf numFmtId="3" fontId="7" fillId="3" borderId="73" xfId="0" applyNumberFormat="1" applyFont="1" applyFill="1" applyBorder="1" applyAlignment="1">
      <alignment horizontal="center" vertical="center" wrapText="1" readingOrder="1"/>
    </xf>
    <xf numFmtId="3" fontId="7" fillId="0" borderId="73" xfId="0" applyNumberFormat="1" applyFont="1" applyBorder="1" applyAlignment="1">
      <alignment horizontal="center" vertical="center" wrapText="1" readingOrder="1"/>
    </xf>
    <xf numFmtId="0" fontId="7" fillId="10" borderId="60" xfId="0" applyFont="1" applyFill="1" applyBorder="1" applyAlignment="1">
      <alignment horizontal="left" vertical="center" wrapText="1" indent="1" readingOrder="1"/>
    </xf>
    <xf numFmtId="3" fontId="7" fillId="10" borderId="60" xfId="0" applyNumberFormat="1" applyFont="1" applyFill="1" applyBorder="1" applyAlignment="1">
      <alignment horizontal="center" vertical="center" wrapText="1" readingOrder="1"/>
    </xf>
    <xf numFmtId="0" fontId="7" fillId="10" borderId="63" xfId="0" applyFont="1" applyFill="1" applyBorder="1" applyAlignment="1">
      <alignment horizontal="left" vertical="center" wrapText="1" indent="1" readingOrder="1"/>
    </xf>
    <xf numFmtId="3" fontId="7" fillId="10" borderId="63" xfId="0" applyNumberFormat="1" applyFont="1" applyFill="1" applyBorder="1" applyAlignment="1">
      <alignment horizontal="center" vertical="center" wrapText="1" readingOrder="1"/>
    </xf>
    <xf numFmtId="0" fontId="7" fillId="7" borderId="60" xfId="0" applyFont="1" applyFill="1" applyBorder="1" applyAlignment="1">
      <alignment horizontal="left" vertical="center" wrapText="1" indent="1" readingOrder="1"/>
    </xf>
    <xf numFmtId="3" fontId="7" fillId="7" borderId="60" xfId="0" applyNumberFormat="1" applyFont="1" applyFill="1" applyBorder="1" applyAlignment="1">
      <alignment horizontal="center" vertical="center" wrapText="1" readingOrder="1"/>
    </xf>
    <xf numFmtId="0" fontId="7" fillId="7" borderId="57" xfId="0" applyFont="1" applyFill="1" applyBorder="1" applyAlignment="1">
      <alignment horizontal="left" vertical="center" wrapText="1" indent="1" readingOrder="1"/>
    </xf>
    <xf numFmtId="3" fontId="7" fillId="7" borderId="57" xfId="0" applyNumberFormat="1" applyFont="1" applyFill="1" applyBorder="1" applyAlignment="1">
      <alignment horizontal="center" vertical="center" wrapText="1" readingOrder="1"/>
    </xf>
    <xf numFmtId="3" fontId="17" fillId="5" borderId="6" xfId="0" applyNumberFormat="1" applyFont="1" applyFill="1" applyBorder="1" applyAlignment="1">
      <alignment horizontal="left" wrapText="1"/>
    </xf>
    <xf numFmtId="0" fontId="7" fillId="7" borderId="65" xfId="0" applyFont="1" applyFill="1" applyBorder="1" applyAlignment="1">
      <alignment horizontal="left" vertical="center" wrapText="1" indent="1" readingOrder="1"/>
    </xf>
    <xf numFmtId="3" fontId="7" fillId="7" borderId="65" xfId="0" applyNumberFormat="1" applyFont="1" applyFill="1" applyBorder="1" applyAlignment="1">
      <alignment horizontal="center" vertical="center" wrapText="1" readingOrder="1"/>
    </xf>
    <xf numFmtId="0" fontId="7" fillId="10" borderId="77" xfId="0" applyFont="1" applyFill="1" applyBorder="1" applyAlignment="1">
      <alignment horizontal="left" vertical="center" wrapText="1" indent="1" readingOrder="1"/>
    </xf>
    <xf numFmtId="3" fontId="7" fillId="10" borderId="77" xfId="0" applyNumberFormat="1" applyFont="1" applyFill="1" applyBorder="1" applyAlignment="1">
      <alignment horizontal="center" vertical="center" wrapText="1" readingOrder="1"/>
    </xf>
    <xf numFmtId="0" fontId="7" fillId="7" borderId="78" xfId="0" applyFont="1" applyFill="1" applyBorder="1" applyAlignment="1">
      <alignment horizontal="left" vertical="center" wrapText="1" indent="1" readingOrder="1"/>
    </xf>
    <xf numFmtId="3" fontId="7" fillId="7" borderId="78" xfId="0" applyNumberFormat="1" applyFont="1" applyFill="1" applyBorder="1" applyAlignment="1">
      <alignment horizontal="center" vertical="center" wrapText="1" readingOrder="1"/>
    </xf>
    <xf numFmtId="0" fontId="31" fillId="7" borderId="79" xfId="0" applyFont="1" applyFill="1" applyBorder="1" applyAlignment="1">
      <alignment vertical="center"/>
    </xf>
    <xf numFmtId="0" fontId="31" fillId="7" borderId="78" xfId="0" applyFont="1" applyFill="1" applyBorder="1" applyAlignment="1">
      <alignment horizontal="center" vertical="center" wrapText="1" readingOrder="1"/>
    </xf>
    <xf numFmtId="0" fontId="31" fillId="7" borderId="80" xfId="0" applyFont="1" applyFill="1" applyBorder="1" applyAlignment="1">
      <alignment horizontal="center" vertical="center" wrapText="1" readingOrder="1"/>
    </xf>
    <xf numFmtId="3" fontId="7" fillId="10" borderId="82" xfId="0" applyNumberFormat="1" applyFont="1" applyFill="1" applyBorder="1" applyAlignment="1">
      <alignment horizontal="center" vertical="center" wrapText="1" readingOrder="1"/>
    </xf>
    <xf numFmtId="3" fontId="7" fillId="7" borderId="82" xfId="0" applyNumberFormat="1" applyFont="1" applyFill="1" applyBorder="1" applyAlignment="1">
      <alignment horizontal="center" vertical="center" wrapText="1" readingOrder="1"/>
    </xf>
    <xf numFmtId="3" fontId="7" fillId="10" borderId="85" xfId="0" applyNumberFormat="1" applyFont="1" applyFill="1" applyBorder="1" applyAlignment="1">
      <alignment horizontal="center" vertical="center" wrapText="1" readingOrder="1"/>
    </xf>
    <xf numFmtId="3" fontId="7" fillId="7" borderId="87" xfId="0" applyNumberFormat="1" applyFont="1" applyFill="1" applyBorder="1" applyAlignment="1">
      <alignment horizontal="center" vertical="center" wrapText="1" readingOrder="1"/>
    </xf>
    <xf numFmtId="3" fontId="7" fillId="10" borderId="88" xfId="0" applyNumberFormat="1" applyFont="1" applyFill="1" applyBorder="1" applyAlignment="1">
      <alignment horizontal="center" vertical="center" wrapText="1" readingOrder="1"/>
    </xf>
    <xf numFmtId="3" fontId="7" fillId="7" borderId="90" xfId="0" applyNumberFormat="1" applyFont="1" applyFill="1" applyBorder="1" applyAlignment="1">
      <alignment horizontal="center" vertical="center" wrapText="1" readingOrder="1"/>
    </xf>
    <xf numFmtId="3" fontId="7" fillId="7" borderId="80" xfId="0" applyNumberFormat="1" applyFont="1" applyFill="1" applyBorder="1" applyAlignment="1">
      <alignment horizontal="center" vertical="center" wrapText="1" readingOrder="1"/>
    </xf>
    <xf numFmtId="0" fontId="7" fillId="3" borderId="76" xfId="0" applyFont="1" applyFill="1" applyBorder="1" applyAlignment="1">
      <alignment horizontal="left" vertical="center" wrapText="1" indent="1" readingOrder="1"/>
    </xf>
    <xf numFmtId="3" fontId="7" fillId="3" borderId="76" xfId="0" applyNumberFormat="1" applyFont="1" applyFill="1" applyBorder="1" applyAlignment="1">
      <alignment horizontal="center" vertical="center" wrapText="1" readingOrder="1"/>
    </xf>
    <xf numFmtId="0" fontId="7" fillId="3" borderId="65" xfId="0" applyFont="1" applyFill="1" applyBorder="1" applyAlignment="1">
      <alignment horizontal="left" vertical="center" wrapText="1" indent="1" readingOrder="1"/>
    </xf>
    <xf numFmtId="3" fontId="7" fillId="3" borderId="65" xfId="0" applyNumberFormat="1" applyFont="1" applyFill="1" applyBorder="1" applyAlignment="1">
      <alignment horizontal="center" vertical="center" wrapText="1" readingOrder="1"/>
    </xf>
    <xf numFmtId="0" fontId="7" fillId="0" borderId="94" xfId="0" applyFont="1" applyBorder="1" applyAlignment="1">
      <alignment horizontal="left" vertical="center" wrapText="1" indent="1" readingOrder="1"/>
    </xf>
    <xf numFmtId="3" fontId="7" fillId="0" borderId="94" xfId="0" applyNumberFormat="1" applyFont="1" applyBorder="1" applyAlignment="1">
      <alignment horizontal="center" vertical="center" wrapText="1" readingOrder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1" fillId="8" borderId="3" xfId="0" applyFont="1" applyFill="1" applyBorder="1" applyAlignment="1">
      <alignment vertical="center"/>
    </xf>
    <xf numFmtId="3" fontId="17" fillId="8" borderId="0" xfId="0" applyNumberFormat="1" applyFont="1" applyFill="1" applyAlignment="1">
      <alignment horizontal="right" vertical="center"/>
    </xf>
    <xf numFmtId="0" fontId="23" fillId="8" borderId="0" xfId="0" applyFont="1" applyFill="1" applyAlignment="1">
      <alignment vertical="center"/>
    </xf>
    <xf numFmtId="3" fontId="23" fillId="8" borderId="6" xfId="0" quotePrefix="1" applyNumberFormat="1" applyFont="1" applyFill="1" applyBorder="1" applyAlignment="1">
      <alignment vertical="center"/>
    </xf>
    <xf numFmtId="0" fontId="23" fillId="7" borderId="0" xfId="0" applyFont="1" applyFill="1"/>
    <xf numFmtId="0" fontId="23" fillId="4" borderId="0" xfId="0" applyFont="1" applyFill="1" applyAlignment="1">
      <alignment vertical="center"/>
    </xf>
    <xf numFmtId="3" fontId="23" fillId="4" borderId="6" xfId="0" quotePrefix="1" applyNumberFormat="1" applyFont="1" applyFill="1" applyBorder="1" applyAlignment="1">
      <alignment vertical="center"/>
    </xf>
    <xf numFmtId="0" fontId="23" fillId="5" borderId="0" xfId="0" applyFont="1" applyFill="1" applyAlignment="1">
      <alignment vertical="center"/>
    </xf>
    <xf numFmtId="3" fontId="23" fillId="5" borderId="6" xfId="0" quotePrefix="1" applyNumberFormat="1" applyFont="1" applyFill="1" applyBorder="1" applyAlignment="1">
      <alignment vertical="center" wrapText="1"/>
    </xf>
    <xf numFmtId="0" fontId="31" fillId="0" borderId="96" xfId="0" applyFont="1" applyBorder="1" applyAlignment="1">
      <alignment horizontal="center" vertical="center" wrapText="1" readingOrder="1"/>
    </xf>
    <xf numFmtId="3" fontId="7" fillId="3" borderId="95" xfId="0" applyNumberFormat="1" applyFont="1" applyFill="1" applyBorder="1" applyAlignment="1">
      <alignment horizontal="center" vertical="center" wrapText="1" readingOrder="1"/>
    </xf>
    <xf numFmtId="3" fontId="7" fillId="0" borderId="95" xfId="0" applyNumberFormat="1" applyFont="1" applyBorder="1" applyAlignment="1">
      <alignment horizontal="center" vertical="center" wrapText="1" readingOrder="1"/>
    </xf>
    <xf numFmtId="0" fontId="7" fillId="0" borderId="99" xfId="0" applyFont="1" applyBorder="1" applyAlignment="1">
      <alignment horizontal="left" vertical="center" wrapText="1" indent="1" readingOrder="1"/>
    </xf>
    <xf numFmtId="0" fontId="7" fillId="3" borderId="98" xfId="0" applyFont="1" applyFill="1" applyBorder="1" applyAlignment="1">
      <alignment horizontal="left" vertical="center" wrapText="1" indent="1" readingOrder="1"/>
    </xf>
    <xf numFmtId="3" fontId="7" fillId="0" borderId="51" xfId="0" applyNumberFormat="1" applyFont="1" applyBorder="1" applyAlignment="1">
      <alignment horizontal="center" vertical="center" wrapText="1" readingOrder="1"/>
    </xf>
    <xf numFmtId="3" fontId="7" fillId="0" borderId="100" xfId="0" applyNumberFormat="1" applyFont="1" applyBorder="1" applyAlignment="1">
      <alignment horizontal="center" vertical="center" wrapText="1" readingOrder="1"/>
    </xf>
    <xf numFmtId="3" fontId="7" fillId="3" borderId="74" xfId="0" applyNumberFormat="1" applyFont="1" applyFill="1" applyBorder="1" applyAlignment="1">
      <alignment horizontal="center" vertical="center" wrapText="1" readingOrder="1"/>
    </xf>
    <xf numFmtId="3" fontId="7" fillId="3" borderId="75" xfId="0" applyNumberFormat="1" applyFont="1" applyFill="1" applyBorder="1" applyAlignment="1">
      <alignment horizontal="center" vertical="center" wrapText="1" readingOrder="1"/>
    </xf>
    <xf numFmtId="0" fontId="31" fillId="3" borderId="98" xfId="0" applyFont="1" applyFill="1" applyBorder="1" applyAlignment="1">
      <alignment horizontal="left" vertical="center" wrapText="1" indent="1" readingOrder="1"/>
    </xf>
    <xf numFmtId="0" fontId="7" fillId="0" borderId="65" xfId="0" applyFont="1" applyBorder="1" applyAlignment="1">
      <alignment horizontal="left" vertical="center" wrapText="1" indent="1" readingOrder="1"/>
    </xf>
    <xf numFmtId="3" fontId="7" fillId="0" borderId="65" xfId="0" applyNumberFormat="1" applyFont="1" applyBorder="1" applyAlignment="1">
      <alignment horizontal="center" vertical="center" wrapText="1" readingOrder="1"/>
    </xf>
    <xf numFmtId="0" fontId="31" fillId="0" borderId="48" xfId="0" applyFont="1" applyBorder="1" applyAlignment="1">
      <alignment horizontal="center" vertical="center" wrapText="1" readingOrder="1"/>
    </xf>
    <xf numFmtId="3" fontId="7" fillId="3" borderId="101" xfId="0" applyNumberFormat="1" applyFont="1" applyFill="1" applyBorder="1" applyAlignment="1">
      <alignment horizontal="center" vertical="center" wrapText="1" readingOrder="1"/>
    </xf>
    <xf numFmtId="3" fontId="7" fillId="3" borderId="77" xfId="0" applyNumberFormat="1" applyFont="1" applyFill="1" applyBorder="1" applyAlignment="1">
      <alignment horizontal="center" vertical="center" wrapText="1" readingOrder="1"/>
    </xf>
    <xf numFmtId="3" fontId="7" fillId="3" borderId="97" xfId="0" applyNumberFormat="1" applyFont="1" applyFill="1" applyBorder="1" applyAlignment="1">
      <alignment horizontal="center" vertical="center" wrapText="1" readingOrder="1"/>
    </xf>
    <xf numFmtId="0" fontId="31" fillId="0" borderId="102" xfId="0" applyFont="1" applyBorder="1" applyAlignment="1">
      <alignment horizontal="left" vertical="center" wrapText="1" indent="1" readingOrder="1"/>
    </xf>
    <xf numFmtId="3" fontId="7" fillId="0" borderId="71" xfId="0" applyNumberFormat="1" applyFont="1" applyBorder="1" applyAlignment="1">
      <alignment horizontal="center" vertical="center" wrapText="1" readingOrder="1"/>
    </xf>
    <xf numFmtId="3" fontId="7" fillId="0" borderId="72" xfId="0" applyNumberFormat="1" applyFont="1" applyBorder="1" applyAlignment="1">
      <alignment horizontal="center" vertical="center" wrapText="1" readingOrder="1"/>
    </xf>
    <xf numFmtId="0" fontId="31" fillId="0" borderId="103" xfId="0" applyFont="1" applyBorder="1" applyAlignment="1">
      <alignment vertical="center"/>
    </xf>
    <xf numFmtId="0" fontId="31" fillId="0" borderId="104" xfId="0" applyFont="1" applyBorder="1" applyAlignment="1">
      <alignment horizontal="center" vertical="center" wrapText="1" readingOrder="1"/>
    </xf>
    <xf numFmtId="0" fontId="31" fillId="0" borderId="105" xfId="0" applyFont="1" applyBorder="1" applyAlignment="1">
      <alignment horizontal="center" vertical="center" wrapText="1" readingOrder="1"/>
    </xf>
    <xf numFmtId="0" fontId="31" fillId="0" borderId="16" xfId="0" applyFont="1" applyBorder="1" applyAlignment="1">
      <alignment horizontal="center" vertical="center" wrapText="1" readingOrder="1"/>
    </xf>
    <xf numFmtId="0" fontId="31" fillId="0" borderId="16" xfId="0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6" fillId="11" borderId="0" xfId="0" applyFont="1" applyFill="1"/>
    <xf numFmtId="3" fontId="31" fillId="11" borderId="63" xfId="0" applyNumberFormat="1" applyFont="1" applyFill="1" applyBorder="1" applyAlignment="1">
      <alignment horizontal="center" vertical="center" wrapText="1" readingOrder="1"/>
    </xf>
    <xf numFmtId="3" fontId="31" fillId="11" borderId="94" xfId="0" applyNumberFormat="1" applyFont="1" applyFill="1" applyBorder="1" applyAlignment="1">
      <alignment horizontal="center" vertical="center" wrapText="1" readingOrder="1"/>
    </xf>
    <xf numFmtId="3" fontId="7" fillId="11" borderId="60" xfId="0" applyNumberFormat="1" applyFont="1" applyFill="1" applyBorder="1" applyAlignment="1">
      <alignment horizontal="center" vertical="center" wrapText="1" readingOrder="1"/>
    </xf>
    <xf numFmtId="3" fontId="7" fillId="11" borderId="0" xfId="0" applyNumberFormat="1" applyFont="1" applyFill="1"/>
    <xf numFmtId="3" fontId="7" fillId="11" borderId="51" xfId="0" applyNumberFormat="1" applyFont="1" applyFill="1" applyBorder="1" applyAlignment="1">
      <alignment horizontal="center" vertical="center" wrapText="1" readingOrder="1"/>
    </xf>
    <xf numFmtId="3" fontId="7" fillId="11" borderId="74" xfId="0" applyNumberFormat="1" applyFont="1" applyFill="1" applyBorder="1" applyAlignment="1">
      <alignment horizontal="center" vertical="center" wrapText="1" readingOrder="1"/>
    </xf>
    <xf numFmtId="0" fontId="31" fillId="11" borderId="0" xfId="0" applyFont="1" applyFill="1"/>
    <xf numFmtId="3" fontId="7" fillId="15" borderId="60" xfId="0" applyNumberFormat="1" applyFont="1" applyFill="1" applyBorder="1" applyAlignment="1">
      <alignment horizontal="center" vertical="center" wrapText="1" readingOrder="1"/>
    </xf>
    <xf numFmtId="0" fontId="0" fillId="15" borderId="0" xfId="0" applyFill="1"/>
    <xf numFmtId="3" fontId="7" fillId="15" borderId="51" xfId="0" applyNumberFormat="1" applyFont="1" applyFill="1" applyBorder="1" applyAlignment="1">
      <alignment horizontal="center" vertical="center" wrapText="1" readingOrder="1"/>
    </xf>
    <xf numFmtId="0" fontId="1" fillId="8" borderId="4" xfId="0" applyFont="1" applyFill="1" applyBorder="1" applyAlignment="1">
      <alignment vertical="center"/>
    </xf>
    <xf numFmtId="3" fontId="16" fillId="4" borderId="0" xfId="0" applyNumberFormat="1" applyFont="1" applyFill="1" applyAlignment="1">
      <alignment vertical="center"/>
    </xf>
    <xf numFmtId="3" fontId="16" fillId="4" borderId="6" xfId="0" applyNumberFormat="1" applyFont="1" applyFill="1" applyBorder="1" applyAlignment="1">
      <alignment vertical="center"/>
    </xf>
    <xf numFmtId="3" fontId="16" fillId="5" borderId="6" xfId="0" applyNumberFormat="1" applyFont="1" applyFill="1" applyBorder="1" applyAlignment="1">
      <alignment vertical="center" wrapText="1"/>
    </xf>
    <xf numFmtId="3" fontId="17" fillId="8" borderId="6" xfId="0" applyNumberFormat="1" applyFont="1" applyFill="1" applyBorder="1" applyAlignment="1">
      <alignment horizontal="left"/>
    </xf>
    <xf numFmtId="0" fontId="41" fillId="0" borderId="83" xfId="0" applyFont="1" applyBorder="1" applyAlignment="1">
      <alignment horizontal="center" vertical="center" textRotation="90"/>
    </xf>
    <xf numFmtId="0" fontId="41" fillId="0" borderId="84" xfId="0" applyFont="1" applyBorder="1" applyAlignment="1">
      <alignment horizontal="center" vertical="center" textRotation="90"/>
    </xf>
    <xf numFmtId="0" fontId="31" fillId="0" borderId="86" xfId="0" applyFont="1" applyBorder="1" applyAlignment="1">
      <alignment horizontal="center" vertical="center" textRotation="90"/>
    </xf>
    <xf numFmtId="0" fontId="31" fillId="0" borderId="83" xfId="0" applyFont="1" applyBorder="1" applyAlignment="1">
      <alignment horizontal="center" vertical="center" textRotation="90"/>
    </xf>
    <xf numFmtId="0" fontId="31" fillId="0" borderId="84" xfId="0" applyFont="1" applyBorder="1" applyAlignment="1">
      <alignment horizontal="center" vertical="center" textRotation="90"/>
    </xf>
    <xf numFmtId="0" fontId="31" fillId="0" borderId="89" xfId="0" applyFont="1" applyBorder="1" applyAlignment="1">
      <alignment horizontal="center" vertical="center" textRotation="90"/>
    </xf>
    <xf numFmtId="0" fontId="31" fillId="0" borderId="91" xfId="0" applyFont="1" applyBorder="1" applyAlignment="1">
      <alignment horizontal="center" vertical="center" textRotation="90"/>
    </xf>
    <xf numFmtId="0" fontId="7" fillId="0" borderId="79" xfId="0" applyFont="1" applyBorder="1" applyAlignment="1">
      <alignment horizontal="center"/>
    </xf>
    <xf numFmtId="0" fontId="7" fillId="0" borderId="92" xfId="0" applyFont="1" applyBorder="1" applyAlignment="1">
      <alignment horizontal="center"/>
    </xf>
    <xf numFmtId="0" fontId="31" fillId="0" borderId="106" xfId="0" applyFont="1" applyBorder="1" applyAlignment="1">
      <alignment horizontal="center" vertical="center" textRotation="90"/>
    </xf>
    <xf numFmtId="0" fontId="31" fillId="7" borderId="81" xfId="0" applyFont="1" applyFill="1" applyBorder="1" applyAlignment="1">
      <alignment horizontal="center" vertical="center" textRotation="90"/>
    </xf>
    <xf numFmtId="0" fontId="40" fillId="7" borderId="83" xfId="0" applyFont="1" applyFill="1" applyBorder="1" applyAlignment="1">
      <alignment horizontal="center" vertical="center" textRotation="90"/>
    </xf>
    <xf numFmtId="0" fontId="40" fillId="7" borderId="84" xfId="0" applyFont="1" applyFill="1" applyBorder="1" applyAlignment="1">
      <alignment horizontal="center" vertical="center" textRotation="90"/>
    </xf>
    <xf numFmtId="0" fontId="31" fillId="7" borderId="89" xfId="0" applyFont="1" applyFill="1" applyBorder="1" applyAlignment="1">
      <alignment horizontal="center" vertical="center" textRotation="90"/>
    </xf>
    <xf numFmtId="0" fontId="31" fillId="7" borderId="91" xfId="0" applyFont="1" applyFill="1" applyBorder="1" applyAlignment="1">
      <alignment horizontal="center" vertical="center" textRotation="90"/>
    </xf>
    <xf numFmtId="0" fontId="7" fillId="7" borderId="89" xfId="0" applyFont="1" applyFill="1" applyBorder="1" applyAlignment="1">
      <alignment horizontal="center"/>
    </xf>
    <xf numFmtId="0" fontId="7" fillId="7" borderId="92" xfId="0" applyFont="1" applyFill="1" applyBorder="1" applyAlignment="1">
      <alignment horizontal="center"/>
    </xf>
    <xf numFmtId="0" fontId="7" fillId="0" borderId="66" xfId="0" applyFont="1" applyBorder="1" applyAlignment="1">
      <alignment horizontal="center"/>
    </xf>
    <xf numFmtId="0" fontId="7" fillId="0" borderId="62" xfId="0" applyFont="1" applyBorder="1" applyAlignment="1">
      <alignment horizontal="center"/>
    </xf>
    <xf numFmtId="0" fontId="31" fillId="0" borderId="56" xfId="0" applyFont="1" applyBorder="1" applyAlignment="1">
      <alignment horizontal="center" vertical="center" textRotation="90"/>
    </xf>
    <xf numFmtId="0" fontId="31" fillId="0" borderId="62" xfId="0" applyFont="1" applyBorder="1" applyAlignment="1">
      <alignment horizontal="center" vertical="center" textRotation="90"/>
    </xf>
    <xf numFmtId="0" fontId="31" fillId="0" borderId="68" xfId="0" applyFont="1" applyBorder="1" applyAlignment="1">
      <alignment horizontal="center" vertical="center" textRotation="90"/>
    </xf>
    <xf numFmtId="0" fontId="40" fillId="0" borderId="69" xfId="0" applyFont="1" applyBorder="1" applyAlignment="1">
      <alignment horizontal="center" vertical="center" textRotation="90"/>
    </xf>
    <xf numFmtId="0" fontId="40" fillId="0" borderId="70" xfId="0" applyFont="1" applyBorder="1" applyAlignment="1">
      <alignment horizontal="center" vertical="center" textRotation="90"/>
    </xf>
    <xf numFmtId="0" fontId="31" fillId="7" borderId="86" xfId="0" applyFont="1" applyFill="1" applyBorder="1" applyAlignment="1">
      <alignment horizontal="center" vertical="center" textRotation="90"/>
    </xf>
    <xf numFmtId="0" fontId="31" fillId="7" borderId="83" xfId="0" applyFont="1" applyFill="1" applyBorder="1" applyAlignment="1">
      <alignment horizontal="center" vertical="center" textRotation="90"/>
    </xf>
    <xf numFmtId="0" fontId="31" fillId="7" borderId="84" xfId="0" applyFont="1" applyFill="1" applyBorder="1" applyAlignment="1">
      <alignment horizontal="center" vertical="center" textRotation="90"/>
    </xf>
    <xf numFmtId="0" fontId="31" fillId="0" borderId="93" xfId="0" applyFont="1" applyBorder="1" applyAlignment="1">
      <alignment horizontal="center" vertical="center" textRotation="90"/>
    </xf>
    <xf numFmtId="0" fontId="31" fillId="0" borderId="69" xfId="0" applyFont="1" applyBorder="1" applyAlignment="1">
      <alignment horizontal="center" vertical="center" textRotation="90"/>
    </xf>
    <xf numFmtId="0" fontId="31" fillId="0" borderId="70" xfId="0" applyFont="1" applyBorder="1" applyAlignment="1">
      <alignment horizontal="center" vertical="center" textRotation="90"/>
    </xf>
    <xf numFmtId="0" fontId="4" fillId="0" borderId="23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</cellXfs>
  <cellStyles count="7">
    <cellStyle name="Comma" xfId="6" builtinId="3"/>
    <cellStyle name="Normal" xfId="0" builtinId="0"/>
    <cellStyle name="Normal 2" xfId="2" xr:uid="{00000000-0005-0000-0000-000001000000}"/>
    <cellStyle name="Normal 2 2" xfId="4" xr:uid="{00000000-0005-0000-0000-000002000000}"/>
    <cellStyle name="Normal 3" xfId="1" xr:uid="{00000000-0005-0000-0000-000003000000}"/>
    <cellStyle name="Normal 4" xfId="3" xr:uid="{00000000-0005-0000-0000-000004000000}"/>
    <cellStyle name="Normal 4 2" xfId="5" xr:uid="{00000000-0005-0000-0000-000005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colors>
    <mruColors>
      <color rgb="FF003E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781050</xdr:colOff>
      <xdr:row>0</xdr:row>
      <xdr:rowOff>169638</xdr:rowOff>
    </xdr:from>
    <xdr:to>
      <xdr:col>21</xdr:col>
      <xdr:colOff>0</xdr:colOff>
      <xdr:row>22</xdr:row>
      <xdr:rowOff>117670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E06CD-6093-B87F-B036-B98B07F28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5575" y="169638"/>
          <a:ext cx="7006590" cy="3785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426720</xdr:colOff>
      <xdr:row>52</xdr:row>
      <xdr:rowOff>0</xdr:rowOff>
    </xdr:from>
    <xdr:to>
      <xdr:col>15</xdr:col>
      <xdr:colOff>373380</xdr:colOff>
      <xdr:row>56</xdr:row>
      <xdr:rowOff>72390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FA3D98-298C-1F13-6AD5-150BEEC19EA4}"/>
            </a:ext>
          </a:extLst>
        </xdr:cNvPr>
        <xdr:cNvSpPr txBox="1"/>
      </xdr:nvSpPr>
      <xdr:spPr>
        <a:xfrm>
          <a:off x="9989820" y="9239250"/>
          <a:ext cx="3861435" cy="75819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Table on left does not include PSCP conservation in 2023-2026 or 242 wellfield. See additional rows immediately below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the table for volumes included in the modeling.</a:t>
          </a:r>
          <a:endParaRPr lang="en-US" sz="10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432728</xdr:colOff>
      <xdr:row>25</xdr:row>
      <xdr:rowOff>174528</xdr:rowOff>
    </xdr:from>
    <xdr:to>
      <xdr:col>23</xdr:col>
      <xdr:colOff>4181768</xdr:colOff>
      <xdr:row>30</xdr:row>
      <xdr:rowOff>40299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819195-E0BB-49CE-BF2B-F286AAE8957B}"/>
            </a:ext>
          </a:extLst>
        </xdr:cNvPr>
        <xdr:cNvSpPr txBox="1"/>
      </xdr:nvSpPr>
      <xdr:spPr>
        <a:xfrm>
          <a:off x="17922093" y="4636624"/>
          <a:ext cx="3749040" cy="72302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latin typeface="Arial" panose="020B0604020202020204" pitchFamily="34" charset="0"/>
              <a:cs typeface="Arial" panose="020B0604020202020204" pitchFamily="34" charset="0"/>
            </a:rPr>
            <a:t>For system status/AOP. Table above does not include PSCP conservation in 2023-2026 or 242 wellfield</a:t>
          </a: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 or additional system water from tentative ICS creation volumes.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OR-LCB" id="{C6458108-3340-4DCF-8867-DA26B24CE5C3}" userId="BOR-LCB" providerId="None"/>
  <person displayName="Tighi, Shana G" id="{D27FC3F6-589A-43BB-B829-B6A5D288B72A}" userId="S::stighi@usbr.gov::61efc871-43c4-4c5a-ad5d-473af91115c8" providerId="AD"/>
  <person displayName="Thiemann, Meghan S" id="{8AD3B8E2-577B-408C-8776-57FA05A130B2}" userId="S::mthiemann@usbr.gov::f7616ebf-6f97-424c-9245-78216bc7cbc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02C482-E702-4D1F-8C4B-19D1EFFAC94D}" name="Table1" displayName="Table1" ref="A4:O31" totalsRowShown="0" headerRowDxfId="4">
  <autoFilter ref="A4:O31" xr:uid="{5A02C482-E702-4D1F-8C4B-19D1EFFAC94D}"/>
  <tableColumns count="15">
    <tableColumn id="1" xr3:uid="{AF8FE38C-C590-4B15-B445-6B134D2739AD}" name="No."/>
    <tableColumn id="2" xr3:uid="{E989018A-A9B9-421C-B213-5CAD69504F23}" name="Contractor"/>
    <tableColumn id="3" xr3:uid="{9BB71970-0B3A-474A-A051-26107658F841}" name="Contract Number"/>
    <tableColumn id="4" xr3:uid="{54F21DE6-8271-4717-A496-F06D78A585F4}" name="CY 2023"/>
    <tableColumn id="5" xr3:uid="{65318FEC-535A-492C-B822-DA2D4ABF358C}" name="CY 2024"/>
    <tableColumn id="6" xr3:uid="{92DB4D8D-302E-495B-90C5-F800C1D18C33}" name="CY 2025"/>
    <tableColumn id="13" xr3:uid="{661179AC-3333-4949-B2E6-9F49F7133980}" name="CY 2026" dataDxfId="3"/>
    <tableColumn id="15" xr3:uid="{6567996F-208C-44BB-B428-1F0A3A74E7EB}" name="CY 2027" dataDxfId="2"/>
    <tableColumn id="7" xr3:uid="{4D34597B-008C-4E67-B407-861A5BE4E825}" name="Total AF">
      <calculatedColumnFormula>SUM(Table1[[#This Row],[CY 2023]:[CY 2026]])</calculatedColumnFormula>
    </tableColumn>
    <tableColumn id="8" xr3:uid="{2F1ACF03-C311-4EBF-B31B-E5C52E7160C5}" name="$/AF"/>
    <tableColumn id="9" xr3:uid="{ED288C86-274C-4C51-916C-B2BB51224C5D}" name="Total $"/>
    <tableColumn id="10" xr3:uid="{5F5B8153-4878-4E1B-8F7D-C4A6AAE3E78F}" name="Status" dataDxfId="1"/>
    <tableColumn id="11" xr3:uid="{5E82F85D-2D2C-4605-ADE4-07449564F591}" name="State" dataDxfId="0"/>
    <tableColumn id="12" xr3:uid="{E4B0CD48-6CC1-4AE4-9021-E9A1A59E0656}" name="Modeled"/>
    <tableColumn id="14" xr3:uid="{7B0A0AFB-06C3-455E-842A-5D9EEE4254B6}" name="Applies to SEIS RO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7" dT="2021-10-13T20:48:29.22" personId="{8AD3B8E2-577B-408C-8776-57FA05A130B2}" id="{53FFB808-F1C5-4A8D-B95E-97958ADCE866}">
    <text>2.7 - CA - NV</text>
  </threadedComment>
  <threadedComment ref="C37" dT="2021-10-13T20:50:52.27" personId="{8AD3B8E2-577B-408C-8776-57FA05A130B2}" id="{843BC937-A00B-4A3E-9E4A-B955BEEB2C19}">
    <text>CAP 100,000 + Tribal 85,000</text>
  </threadedComment>
  <threadedComment ref="B38" dT="2021-10-13T20:49:35.54" personId="{8AD3B8E2-577B-408C-8776-57FA05A130B2}" id="{1CC7E759-ABE2-4BF2-A67D-7DC6EB90C22D}">
    <text>Based on what's required to allow over 150,000 of creation in 2022</text>
  </threadedComment>
  <threadedComment ref="C38" dT="2021-10-13T20:51:21.32" personId="{8AD3B8E2-577B-408C-8776-57FA05A130B2}" id="{E6D0CCD4-9B6A-4AFE-9BDE-368D49D101EA}">
    <text>MRM Max of 300 + space for IID</text>
  </threadedComment>
  <threadedComment ref="B39" dT="2021-10-13T20:48:48.65" personId="{8AD3B8E2-577B-408C-8776-57FA05A130B2}" id="{53723224-916F-4D58-98E1-E10BDFE2234C}">
    <text>Based on 2021 ICS Balance + Tributary to EC Conversion</text>
  </threadedComment>
  <threadedComment ref="C39" dT="2021-10-13T20:52:21.10" personId="{8AD3B8E2-577B-408C-8776-57FA05A130B2}" id="{37656B02-F5A9-473B-971A-F0DCF70D6CEF}">
    <text>Demands indicate less creation space required</text>
  </threadedComment>
  <threadedComment ref="B41" dT="2021-11-09T18:59:58.49" personId="{8AD3B8E2-577B-408C-8776-57FA05A130B2}" id="{E73E2EAF-961E-4E0B-8A95-7D3AF6460C5E}">
    <text>CA - 83 of IID EC + BCS</text>
  </threadedComment>
  <threadedComment ref="B42" dT="2021-10-13T20:50:19.73" personId="{8AD3B8E2-577B-408C-8776-57FA05A130B2}" id="{06CC0F9D-805B-48C1-B8E1-8E26230EF6A9}">
    <text>50,000 EC</text>
  </threadedComment>
  <threadedComment ref="B44" dT="2021-10-13T20:53:03.07" personId="{8AD3B8E2-577B-408C-8776-57FA05A130B2}" id="{BD9F7594-1360-4E7B-8BC1-E9A44DC7274E}">
    <text>Based on 2022 Tribal Balance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6" dT="2022-02-08T23:27:25.09" personId="{C6458108-3340-4DCF-8867-DA26B24CE5C3}" id="{D4C7AFF3-77E5-4DC6-B1C9-6B23DD4D523B}">
    <text>This is EC ICS that did NOT get converted to DCP ICS</text>
  </threadedComment>
  <threadedComment ref="L11" dT="2022-04-07T17:15:37.07" personId="{D27FC3F6-589A-43BB-B829-B6A5D288B72A}" id="{682AD229-0376-4127-87B5-7140074220BE}">
    <text>updated estimate from WA as of 4/5</text>
  </threadedComment>
  <threadedComment ref="L20" dT="2022-04-07T17:15:46.95" personId="{D27FC3F6-589A-43BB-B829-B6A5D288B72A}" id="{782B9895-5A30-4A1C-9F8E-FB2BF12BCEA6}">
    <text>updated estimate from WA as of 4/5</text>
  </threadedComment>
  <threadedComment ref="L21" dT="2022-04-07T17:15:54.23" personId="{D27FC3F6-589A-43BB-B829-B6A5D288B72A}" id="{B9934DFF-8139-4EF2-8E6E-C63A911BDFC6}">
    <text>updated estimate from WA as of 5/3</text>
  </threadedComment>
  <threadedComment ref="E30" dT="2021-11-19T19:56:59.85" personId="{D27FC3F6-589A-43BB-B829-B6A5D288B72A}" id="{8A2539FE-6C81-4675-B775-04A8143A88B6}">
    <text>Should this be 192 kaf since NV's DCP contribution is for a conversion of EC ICS with no additional reduction in CU?</text>
  </threadedComment>
  <threadedComment ref="F30" dT="2021-11-19T19:57:15.95" personId="{D27FC3F6-589A-43BB-B829-B6A5D288B72A}" id="{8B2340E1-BB7D-4A6C-950A-22ADA02A447A}">
    <text>Should this be 192 kaf since NV's DCP contribution is for a conversion of EC ICS with no additional reduction in CU?</text>
  </threadedComment>
  <threadedComment ref="L35" dT="2022-02-08T23:27:25.09" personId="{C6458108-3340-4DCF-8867-DA26B24CE5C3}" id="{9047CA8C-81CC-4202-BDF1-75F0C078645E}">
    <text>Does the 3099 delivery need to be accounted for here?</text>
  </threadedComment>
  <threadedComment ref="L40" dT="2022-04-07T17:15:37.07" personId="{D27FC3F6-589A-43BB-B829-B6A5D288B72A}" id="{21FC522F-6C9D-437E-AB9E-8F79AB3A8B64}">
    <text>updated estimate from WA as of 4/5</text>
  </threadedComment>
  <threadedComment ref="L49" dT="2022-04-07T17:15:46.95" personId="{D27FC3F6-589A-43BB-B829-B6A5D288B72A}" id="{57074EC0-5351-4E50-B576-E1B476A6B395}">
    <text>updated estimate from WA as of 4/5</text>
  </threadedComment>
  <threadedComment ref="L50" dT="2022-04-07T17:15:54.23" personId="{D27FC3F6-589A-43BB-B829-B6A5D288B72A}" id="{55418EAA-A989-4258-BA0A-BC59DC06526F}">
    <text>updated estimate from WA as of 4/5</text>
  </threadedComment>
  <threadedComment ref="L64" dT="2022-02-08T23:27:25.09" personId="{C6458108-3340-4DCF-8867-DA26B24CE5C3}" id="{E0780162-E166-4698-A113-2E98C25320A5}">
    <text>Does the 3099 delivery need to be accounted for here?</text>
  </threadedComment>
  <threadedComment ref="L69" dT="2022-04-07T17:15:37.07" personId="{D27FC3F6-589A-43BB-B829-B6A5D288B72A}" id="{ADD78F21-2EC0-4A45-A48B-A300C6BA4592}">
    <text>updated estimate from WA as of 4/5</text>
  </threadedComment>
  <threadedComment ref="L78" dT="2022-04-07T17:15:46.95" personId="{D27FC3F6-589A-43BB-B829-B6A5D288B72A}" id="{CBAD8737-32F6-4EEA-97DA-5339C6F51AC7}">
    <text>updated estimate from WA as of 4/5</text>
  </threadedComment>
  <threadedComment ref="L79" dT="2022-04-07T17:15:54.23" personId="{D27FC3F6-589A-43BB-B829-B6A5D288B72A}" id="{847116CF-89D0-4C2F-A9A6-EB9535B3F2F9}">
    <text>updated estimate from WA as of 4/5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EB082-AAF6-4A02-A75D-9671CF45EDA7}">
  <sheetPr codeName="Sheet7">
    <tabColor rgb="FF0070C0"/>
  </sheetPr>
  <dimension ref="A1:AS66"/>
  <sheetViews>
    <sheetView topLeftCell="J31" zoomScale="110" zoomScaleNormal="110" workbookViewId="0">
      <selection activeCell="K62" sqref="K62"/>
    </sheetView>
  </sheetViews>
  <sheetFormatPr defaultColWidth="8.5546875" defaultRowHeight="15" customHeight="1" x14ac:dyDescent="0.2"/>
  <cols>
    <col min="1" max="1" width="40.44140625" style="95" customWidth="1"/>
    <col min="2" max="2" width="11.5546875" style="95" bestFit="1" customWidth="1"/>
    <col min="3" max="3" width="4.5546875" style="95" customWidth="1"/>
    <col min="4" max="4" width="71.44140625" style="95" bestFit="1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48.44140625" style="95" bestFit="1" customWidth="1"/>
    <col min="12" max="12" width="11.5546875" style="95" bestFit="1" customWidth="1"/>
    <col min="13" max="13" width="4.5546875" style="95" customWidth="1"/>
    <col min="14" max="14" width="55.554687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413</v>
      </c>
      <c r="B1" s="156">
        <f>888973-866000</f>
        <v>22973</v>
      </c>
      <c r="C1" s="156"/>
      <c r="D1" s="157">
        <v>909799</v>
      </c>
      <c r="E1" s="125"/>
      <c r="F1" s="145" t="s">
        <v>413</v>
      </c>
      <c r="G1" s="152">
        <f>1118973-1140000</f>
        <v>-21027</v>
      </c>
      <c r="H1" s="152"/>
      <c r="I1" s="153"/>
      <c r="K1" s="147" t="s">
        <v>413</v>
      </c>
      <c r="L1" s="154">
        <f>863966-725000</f>
        <v>138966</v>
      </c>
      <c r="M1" s="154"/>
      <c r="N1" s="235">
        <f>L1-36365</f>
        <v>102601</v>
      </c>
    </row>
    <row r="2" spans="1:45" ht="15" customHeight="1" x14ac:dyDescent="0.2">
      <c r="A2" s="158" t="s">
        <v>50</v>
      </c>
      <c r="B2" s="159"/>
      <c r="C2" s="159"/>
      <c r="D2" s="160">
        <f>44271+8991-(573/0.9)</f>
        <v>52625.333333333336</v>
      </c>
      <c r="F2" s="146" t="s">
        <v>107</v>
      </c>
      <c r="G2" s="98">
        <f>1100000-1070865</f>
        <v>29135</v>
      </c>
      <c r="H2" s="98"/>
      <c r="I2" s="99"/>
      <c r="K2" s="148" t="s">
        <v>108</v>
      </c>
      <c r="L2" s="129"/>
      <c r="M2" s="129"/>
      <c r="N2" s="236">
        <f>N1-62144</f>
        <v>40457</v>
      </c>
    </row>
    <row r="3" spans="1:45" ht="15" customHeight="1" x14ac:dyDescent="0.2">
      <c r="A3" s="161" t="s">
        <v>267</v>
      </c>
      <c r="B3" s="162"/>
      <c r="C3" s="162"/>
      <c r="D3" s="163"/>
      <c r="E3" s="125"/>
      <c r="F3" s="100" t="s">
        <v>449</v>
      </c>
      <c r="G3" s="98"/>
      <c r="H3" s="106"/>
      <c r="I3" s="99"/>
      <c r="K3" s="131" t="s">
        <v>449</v>
      </c>
      <c r="L3" s="129"/>
      <c r="M3" s="129"/>
      <c r="N3" s="236">
        <f>N2/0.9</f>
        <v>44952.222222222219</v>
      </c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>
        <f>N3+62144</f>
        <v>107096.22222222222</v>
      </c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B33+B46</f>
        <v>0</v>
      </c>
      <c r="C7" s="162"/>
      <c r="D7" s="170"/>
      <c r="F7" s="101" t="s">
        <v>34</v>
      </c>
      <c r="G7" s="106">
        <f>G33+G46</f>
        <v>0</v>
      </c>
      <c r="H7" s="98"/>
      <c r="I7" s="106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v>0</v>
      </c>
      <c r="C8" s="162"/>
      <c r="D8" s="170" t="s">
        <v>574</v>
      </c>
      <c r="F8" s="101" t="s">
        <v>36</v>
      </c>
      <c r="G8" s="106">
        <f>205448+29135+21027</f>
        <v>255610</v>
      </c>
      <c r="H8" s="98"/>
      <c r="I8" s="107" t="s">
        <v>570</v>
      </c>
      <c r="K8" s="138" t="s">
        <v>36</v>
      </c>
      <c r="L8" s="109">
        <v>0</v>
      </c>
      <c r="M8" s="129"/>
      <c r="N8" s="236" t="s">
        <v>581</v>
      </c>
    </row>
    <row r="9" spans="1:45" ht="15" customHeight="1" x14ac:dyDescent="0.2">
      <c r="A9" s="164" t="s">
        <v>37</v>
      </c>
      <c r="B9" s="169"/>
      <c r="C9" s="162"/>
      <c r="D9" s="171" t="s">
        <v>61</v>
      </c>
      <c r="E9" s="117"/>
      <c r="F9" s="101" t="s">
        <v>37</v>
      </c>
      <c r="G9" s="106">
        <v>0</v>
      </c>
      <c r="H9" s="98"/>
      <c r="I9" s="112"/>
      <c r="K9" s="138" t="s">
        <v>37</v>
      </c>
      <c r="L9" s="109">
        <v>0</v>
      </c>
      <c r="M9" s="129"/>
      <c r="N9" s="236" t="s">
        <v>61</v>
      </c>
    </row>
    <row r="10" spans="1:45" ht="15" customHeight="1" x14ac:dyDescent="0.2">
      <c r="A10" s="164" t="s">
        <v>523</v>
      </c>
      <c r="B10" s="169">
        <v>0</v>
      </c>
      <c r="C10" s="162"/>
      <c r="D10" s="171"/>
      <c r="E10" s="117"/>
      <c r="F10" s="101" t="s">
        <v>523</v>
      </c>
      <c r="G10" s="106"/>
      <c r="H10" s="98"/>
      <c r="I10" s="112"/>
      <c r="K10" s="138" t="s">
        <v>523</v>
      </c>
      <c r="L10" s="109">
        <v>0</v>
      </c>
      <c r="M10" s="129"/>
      <c r="N10" s="236"/>
    </row>
    <row r="11" spans="1:45" ht="15" customHeight="1" x14ac:dyDescent="0.2">
      <c r="A11" s="164" t="s">
        <v>375</v>
      </c>
      <c r="B11" s="169"/>
      <c r="C11" s="162"/>
      <c r="D11" s="171"/>
      <c r="E11" s="117"/>
      <c r="F11" s="101" t="s">
        <v>375</v>
      </c>
      <c r="G11" s="106"/>
      <c r="H11" s="98"/>
      <c r="I11" s="112"/>
      <c r="K11" s="138" t="s">
        <v>375</v>
      </c>
      <c r="L11" s="109"/>
      <c r="M11" s="129"/>
      <c r="N11" s="236"/>
    </row>
    <row r="12" spans="1:45" ht="15" customHeight="1" x14ac:dyDescent="0.2">
      <c r="A12" s="164" t="s">
        <v>175</v>
      </c>
      <c r="B12" s="169">
        <f>-'System Conservation'!AL2</f>
        <v>-377609</v>
      </c>
      <c r="C12" s="162"/>
      <c r="D12" s="163"/>
      <c r="E12" s="117"/>
      <c r="F12" s="101" t="s">
        <v>175</v>
      </c>
      <c r="G12" s="106">
        <f>B12</f>
        <v>-377609</v>
      </c>
      <c r="H12" s="98"/>
      <c r="I12" s="99"/>
      <c r="K12" s="138" t="s">
        <v>175</v>
      </c>
      <c r="L12" s="109">
        <f>-'System Conservation'!AL2</f>
        <v>-377609</v>
      </c>
      <c r="M12" s="129"/>
      <c r="N12" s="239"/>
    </row>
    <row r="13" spans="1:45" ht="15" customHeight="1" x14ac:dyDescent="0.2">
      <c r="A13" s="164" t="s">
        <v>105</v>
      </c>
      <c r="B13" s="177">
        <v>-145</v>
      </c>
      <c r="C13" s="162"/>
      <c r="D13" s="171"/>
      <c r="F13" s="101" t="s">
        <v>105</v>
      </c>
      <c r="G13" s="110">
        <v>-145</v>
      </c>
      <c r="H13" s="98"/>
      <c r="I13" s="99"/>
      <c r="K13" s="138" t="s">
        <v>105</v>
      </c>
      <c r="L13" s="111">
        <v>-145</v>
      </c>
      <c r="M13" s="129"/>
      <c r="N13" s="236"/>
      <c r="AO13" s="117"/>
      <c r="AP13" s="117"/>
      <c r="AQ13" s="117"/>
      <c r="AS13" s="117"/>
    </row>
    <row r="14" spans="1:45" s="197" customFormat="1" ht="15" customHeight="1" x14ac:dyDescent="0.25">
      <c r="A14" s="172" t="s">
        <v>41</v>
      </c>
      <c r="B14" s="204">
        <f>SUM(B6:B13)</f>
        <v>4022246</v>
      </c>
      <c r="C14" s="196"/>
      <c r="D14" s="190"/>
      <c r="F14" s="113" t="s">
        <v>41</v>
      </c>
      <c r="G14" s="556">
        <f>SUM(G6:G13)</f>
        <v>4277856</v>
      </c>
      <c r="H14" s="198"/>
      <c r="I14" s="557"/>
      <c r="K14" s="141" t="s">
        <v>41</v>
      </c>
      <c r="L14" s="334">
        <f>SUM(L6:L13)</f>
        <v>4022246</v>
      </c>
      <c r="M14" s="199"/>
      <c r="N14" s="558"/>
    </row>
    <row r="15" spans="1:45" ht="15" customHeight="1" x14ac:dyDescent="0.2">
      <c r="A15" s="172" t="s">
        <v>40</v>
      </c>
      <c r="B15" s="173">
        <f>B14+B18+B16</f>
        <v>4044855</v>
      </c>
      <c r="C15" s="162"/>
      <c r="D15" s="190" t="s">
        <v>573</v>
      </c>
      <c r="F15" s="113" t="s">
        <v>40</v>
      </c>
      <c r="G15" s="114">
        <f>G14+G16</f>
        <v>4277856</v>
      </c>
      <c r="H15" s="106"/>
      <c r="I15" s="149"/>
      <c r="K15" s="141" t="s">
        <v>40</v>
      </c>
      <c r="L15" s="116">
        <f>L14+L16</f>
        <v>4022246</v>
      </c>
      <c r="M15" s="129"/>
      <c r="N15" s="240"/>
      <c r="AO15" s="117"/>
      <c r="AP15" s="117"/>
      <c r="AQ15" s="117"/>
      <c r="AS15" s="117"/>
    </row>
    <row r="16" spans="1:45" ht="15" customHeight="1" x14ac:dyDescent="0.2">
      <c r="A16" s="164" t="s">
        <v>17</v>
      </c>
      <c r="B16" s="169">
        <v>0</v>
      </c>
      <c r="C16" s="162"/>
      <c r="D16" s="175"/>
      <c r="F16" s="101" t="s">
        <v>17</v>
      </c>
      <c r="G16" s="106">
        <v>0</v>
      </c>
      <c r="H16" s="98"/>
      <c r="I16" s="115"/>
      <c r="K16" s="138" t="s">
        <v>17</v>
      </c>
      <c r="L16" s="109">
        <v>0</v>
      </c>
      <c r="M16" s="109"/>
      <c r="N16" s="240"/>
    </row>
    <row r="17" spans="1:43" ht="15" customHeight="1" x14ac:dyDescent="0.2">
      <c r="A17" s="164" t="s">
        <v>18</v>
      </c>
      <c r="B17" s="169">
        <v>0</v>
      </c>
      <c r="C17" s="162"/>
      <c r="D17" s="175"/>
      <c r="F17" s="101" t="s">
        <v>18</v>
      </c>
      <c r="G17" s="106">
        <v>0</v>
      </c>
      <c r="H17" s="98"/>
      <c r="I17" s="115"/>
      <c r="K17" s="138" t="s">
        <v>18</v>
      </c>
      <c r="L17" s="109">
        <v>0</v>
      </c>
      <c r="M17" s="129"/>
      <c r="N17" s="240"/>
      <c r="AO17" s="117"/>
      <c r="AP17" s="117"/>
      <c r="AQ17" s="117"/>
    </row>
    <row r="18" spans="1:43" ht="15" customHeight="1" x14ac:dyDescent="0.2">
      <c r="A18" s="164" t="s">
        <v>572</v>
      </c>
      <c r="B18" s="169">
        <f>25409-2800</f>
        <v>22609</v>
      </c>
      <c r="C18" s="162"/>
      <c r="D18" s="559" t="s">
        <v>575</v>
      </c>
      <c r="F18" s="101"/>
      <c r="G18" s="106"/>
      <c r="H18" s="98"/>
      <c r="I18" s="115"/>
      <c r="K18" s="138" t="s">
        <v>506</v>
      </c>
      <c r="L18" s="109">
        <f>25409-2800</f>
        <v>22609</v>
      </c>
      <c r="M18" s="129"/>
      <c r="N18" s="484" t="s">
        <v>575</v>
      </c>
      <c r="AO18" s="117"/>
      <c r="AP18" s="117"/>
      <c r="AQ18" s="117"/>
    </row>
    <row r="19" spans="1:43" ht="15" customHeight="1" x14ac:dyDescent="0.2">
      <c r="A19" s="164"/>
      <c r="B19" s="169"/>
      <c r="C19" s="162"/>
      <c r="D19" s="176"/>
      <c r="F19" s="101"/>
      <c r="G19" s="106"/>
      <c r="H19" s="98"/>
      <c r="I19" s="118"/>
      <c r="K19" s="138" t="s">
        <v>483</v>
      </c>
      <c r="L19" s="109">
        <f>L15+L18</f>
        <v>4044855</v>
      </c>
      <c r="M19" s="129"/>
      <c r="N19" s="241"/>
    </row>
    <row r="20" spans="1:43" ht="15" customHeight="1" x14ac:dyDescent="0.2">
      <c r="A20" s="166" t="s">
        <v>1</v>
      </c>
      <c r="B20" s="167" t="s">
        <v>5</v>
      </c>
      <c r="C20" s="162"/>
      <c r="D20" s="168" t="s">
        <v>6</v>
      </c>
      <c r="F20" s="103" t="s">
        <v>1</v>
      </c>
      <c r="G20" s="104" t="s">
        <v>5</v>
      </c>
      <c r="H20" s="98"/>
      <c r="I20" s="105" t="s">
        <v>6</v>
      </c>
      <c r="K20" s="135" t="s">
        <v>1</v>
      </c>
      <c r="L20" s="136" t="s">
        <v>5</v>
      </c>
      <c r="M20" s="129"/>
      <c r="N20" s="238" t="s">
        <v>6</v>
      </c>
      <c r="AO20" s="117"/>
      <c r="AP20" s="117"/>
      <c r="AQ20" s="117"/>
    </row>
    <row r="21" spans="1:43" ht="15" customHeight="1" x14ac:dyDescent="0.2">
      <c r="A21" s="164" t="s">
        <v>3</v>
      </c>
      <c r="B21" s="169">
        <v>2800000</v>
      </c>
      <c r="C21" s="162"/>
      <c r="D21" s="163"/>
      <c r="F21" s="101" t="s">
        <v>3</v>
      </c>
      <c r="G21" s="106">
        <v>2800000</v>
      </c>
      <c r="H21" s="98"/>
      <c r="I21" s="99"/>
      <c r="K21" s="138" t="s">
        <v>3</v>
      </c>
      <c r="L21" s="109">
        <v>2800000</v>
      </c>
      <c r="M21" s="129"/>
      <c r="N21" s="236"/>
      <c r="O21" s="95" t="s">
        <v>102</v>
      </c>
      <c r="AO21" s="117"/>
      <c r="AP21" s="117"/>
      <c r="AQ21" s="117"/>
    </row>
    <row r="22" spans="1:43" ht="15" customHeight="1" x14ac:dyDescent="0.2">
      <c r="A22" s="164" t="s">
        <v>132</v>
      </c>
      <c r="B22" s="169">
        <v>0</v>
      </c>
      <c r="C22" s="162"/>
      <c r="D22" s="163"/>
      <c r="F22" s="101" t="s">
        <v>132</v>
      </c>
      <c r="G22" s="106">
        <v>0</v>
      </c>
      <c r="H22" s="98"/>
      <c r="I22" s="99"/>
      <c r="K22" s="138" t="s">
        <v>132</v>
      </c>
      <c r="L22" s="109">
        <v>0</v>
      </c>
      <c r="M22" s="129"/>
      <c r="N22" s="236"/>
    </row>
    <row r="23" spans="1:43" ht="15" customHeight="1" x14ac:dyDescent="0.2">
      <c r="A23" s="164" t="s">
        <v>35</v>
      </c>
      <c r="B23" s="169">
        <v>0</v>
      </c>
      <c r="C23" s="162"/>
      <c r="D23" s="163" t="s">
        <v>552</v>
      </c>
      <c r="F23" s="101" t="s">
        <v>35</v>
      </c>
      <c r="G23" s="106">
        <v>0</v>
      </c>
      <c r="H23" s="98"/>
      <c r="I23" s="99" t="s">
        <v>561</v>
      </c>
      <c r="K23" s="138" t="s">
        <v>35</v>
      </c>
      <c r="L23" s="109">
        <v>0</v>
      </c>
      <c r="M23" s="129"/>
      <c r="N23" s="236" t="s">
        <v>561</v>
      </c>
    </row>
    <row r="24" spans="1:43" ht="15" customHeight="1" x14ac:dyDescent="0.2">
      <c r="A24" s="164" t="s">
        <v>111</v>
      </c>
      <c r="B24" s="169">
        <v>0</v>
      </c>
      <c r="C24" s="162"/>
      <c r="D24" s="163"/>
      <c r="F24" s="101" t="s">
        <v>111</v>
      </c>
      <c r="G24" s="106">
        <v>0</v>
      </c>
      <c r="H24" s="98"/>
      <c r="I24" s="99"/>
      <c r="K24" s="138" t="s">
        <v>111</v>
      </c>
      <c r="L24" s="109">
        <v>0</v>
      </c>
      <c r="M24" s="129"/>
      <c r="N24" s="265"/>
    </row>
    <row r="25" spans="1:43" ht="15" customHeight="1" x14ac:dyDescent="0.2">
      <c r="A25" s="164" t="s">
        <v>21</v>
      </c>
      <c r="B25" s="169">
        <v>0</v>
      </c>
      <c r="C25" s="162"/>
      <c r="D25" s="163"/>
      <c r="F25" s="101" t="s">
        <v>21</v>
      </c>
      <c r="G25" s="106">
        <v>0</v>
      </c>
      <c r="H25" s="98"/>
      <c r="I25" s="99"/>
      <c r="K25" s="138" t="s">
        <v>21</v>
      </c>
      <c r="L25" s="109">
        <v>0</v>
      </c>
      <c r="M25" s="129"/>
      <c r="N25" s="236"/>
    </row>
    <row r="26" spans="1:43" ht="15" customHeight="1" x14ac:dyDescent="0.2">
      <c r="A26" s="164" t="s">
        <v>103</v>
      </c>
      <c r="B26" s="169">
        <v>-3052</v>
      </c>
      <c r="C26" s="162"/>
      <c r="D26" s="163"/>
      <c r="F26" s="101" t="s">
        <v>103</v>
      </c>
      <c r="G26" s="106">
        <f>B26</f>
        <v>-3052</v>
      </c>
      <c r="H26" s="98"/>
      <c r="I26" s="99"/>
      <c r="K26" s="138" t="s">
        <v>103</v>
      </c>
      <c r="L26" s="109">
        <f>B26</f>
        <v>-3052</v>
      </c>
      <c r="M26" s="129"/>
      <c r="N26" s="236"/>
    </row>
    <row r="27" spans="1:43" ht="15" customHeight="1" x14ac:dyDescent="0.2">
      <c r="A27" s="164" t="s">
        <v>113</v>
      </c>
      <c r="B27" s="169">
        <f>-SUM('System Conservation'!V2+'System Conservation'!AD2)</f>
        <v>-308313</v>
      </c>
      <c r="C27" s="162"/>
      <c r="D27" s="163" t="s">
        <v>343</v>
      </c>
      <c r="F27" s="101" t="s">
        <v>113</v>
      </c>
      <c r="G27" s="106">
        <f>B27</f>
        <v>-308313</v>
      </c>
      <c r="H27" s="98"/>
      <c r="I27" s="99" t="s">
        <v>343</v>
      </c>
      <c r="K27" s="138" t="s">
        <v>113</v>
      </c>
      <c r="L27" s="109">
        <f>B27</f>
        <v>-308313</v>
      </c>
      <c r="M27" s="129"/>
      <c r="N27" s="236" t="s">
        <v>343</v>
      </c>
    </row>
    <row r="28" spans="1:43" s="197" customFormat="1" ht="15" customHeight="1" x14ac:dyDescent="0.25">
      <c r="A28" s="172" t="s">
        <v>130</v>
      </c>
      <c r="B28" s="173">
        <f>SUM(B21:B27)</f>
        <v>2488635</v>
      </c>
      <c r="C28" s="196"/>
      <c r="D28" s="189"/>
      <c r="F28" s="113" t="s">
        <v>130</v>
      </c>
      <c r="G28" s="231">
        <f>SUM(G21:G27)</f>
        <v>2488635</v>
      </c>
      <c r="H28" s="198"/>
      <c r="I28" s="201"/>
      <c r="K28" s="141" t="s">
        <v>130</v>
      </c>
      <c r="L28" s="116">
        <f>SUM(L21:L27)</f>
        <v>2488635</v>
      </c>
      <c r="M28" s="199"/>
      <c r="N28" s="242"/>
    </row>
    <row r="29" spans="1:43" ht="30.75" customHeight="1" x14ac:dyDescent="0.2">
      <c r="A29" s="164" t="s">
        <v>110</v>
      </c>
      <c r="B29" s="169">
        <v>-192000</v>
      </c>
      <c r="C29" s="162"/>
      <c r="D29" s="232" t="s">
        <v>541</v>
      </c>
      <c r="F29" s="101" t="s">
        <v>110</v>
      </c>
      <c r="G29" s="106">
        <v>-192000</v>
      </c>
      <c r="H29" s="98"/>
      <c r="I29" s="99" t="s">
        <v>578</v>
      </c>
      <c r="K29" s="138" t="s">
        <v>110</v>
      </c>
      <c r="L29" s="109">
        <v>-192000</v>
      </c>
      <c r="M29" s="129"/>
      <c r="N29" s="236" t="s">
        <v>548</v>
      </c>
    </row>
    <row r="30" spans="1:43" ht="34.35" customHeight="1" x14ac:dyDescent="0.2">
      <c r="A30" s="164" t="s">
        <v>129</v>
      </c>
      <c r="B30" s="169">
        <v>0</v>
      </c>
      <c r="C30" s="162"/>
      <c r="D30" s="232"/>
      <c r="F30" s="101" t="s">
        <v>129</v>
      </c>
      <c r="G30" s="106">
        <v>0</v>
      </c>
      <c r="H30" s="98"/>
      <c r="I30" s="99"/>
      <c r="K30" s="138" t="s">
        <v>129</v>
      </c>
      <c r="L30" s="109">
        <v>0</v>
      </c>
      <c r="M30" s="129"/>
      <c r="N30" s="236"/>
    </row>
    <row r="31" spans="1:43" ht="15" customHeight="1" x14ac:dyDescent="0.2">
      <c r="A31" s="164" t="s">
        <v>133</v>
      </c>
      <c r="B31" s="169">
        <v>-320000</v>
      </c>
      <c r="C31" s="162"/>
      <c r="D31" s="163" t="s">
        <v>150</v>
      </c>
      <c r="F31" s="101" t="s">
        <v>133</v>
      </c>
      <c r="G31" s="106">
        <v>-320000</v>
      </c>
      <c r="H31" s="98"/>
      <c r="I31" s="99" t="s">
        <v>150</v>
      </c>
      <c r="K31" s="138" t="s">
        <v>133</v>
      </c>
      <c r="L31" s="109">
        <v>-320000</v>
      </c>
      <c r="M31" s="129"/>
      <c r="N31" s="236"/>
    </row>
    <row r="32" spans="1:43" s="197" customFormat="1" ht="15" customHeight="1" x14ac:dyDescent="0.25">
      <c r="A32" s="372" t="s">
        <v>409</v>
      </c>
      <c r="B32" s="173">
        <f>SUM(B28:B31)</f>
        <v>1976635</v>
      </c>
      <c r="C32" s="196"/>
      <c r="D32" s="200"/>
      <c r="F32" s="393" t="s">
        <v>409</v>
      </c>
      <c r="G32" s="114">
        <f>SUM(G28:G31)</f>
        <v>1976635</v>
      </c>
      <c r="H32" s="198"/>
      <c r="I32" s="230"/>
      <c r="K32" s="395" t="s">
        <v>409</v>
      </c>
      <c r="L32" s="116">
        <f>SUM(L28:L31)</f>
        <v>1976635</v>
      </c>
      <c r="M32" s="199"/>
      <c r="N32" s="243"/>
    </row>
    <row r="33" spans="1:14" ht="15" customHeight="1" x14ac:dyDescent="0.2">
      <c r="A33" s="164" t="s">
        <v>17</v>
      </c>
      <c r="B33" s="169">
        <v>0</v>
      </c>
      <c r="C33" s="162"/>
      <c r="D33" s="163"/>
      <c r="F33" s="101" t="s">
        <v>17</v>
      </c>
      <c r="G33" s="106">
        <v>0</v>
      </c>
      <c r="H33" s="98"/>
      <c r="I33" s="99"/>
      <c r="K33" s="138" t="s">
        <v>17</v>
      </c>
      <c r="L33" s="109">
        <v>0</v>
      </c>
      <c r="M33" s="129"/>
      <c r="N33" s="236"/>
    </row>
    <row r="34" spans="1:14" ht="15" customHeight="1" x14ac:dyDescent="0.2">
      <c r="A34" s="164" t="s">
        <v>18</v>
      </c>
      <c r="B34" s="169">
        <v>0</v>
      </c>
      <c r="C34" s="162"/>
      <c r="D34" s="163"/>
      <c r="F34" s="101" t="s">
        <v>18</v>
      </c>
      <c r="G34" s="106">
        <v>0</v>
      </c>
      <c r="H34" s="98"/>
      <c r="I34" s="99"/>
      <c r="K34" s="138" t="s">
        <v>18</v>
      </c>
      <c r="L34" s="109">
        <v>0</v>
      </c>
      <c r="M34" s="129"/>
      <c r="N34" s="236"/>
    </row>
    <row r="35" spans="1:14" ht="15" customHeight="1" x14ac:dyDescent="0.2">
      <c r="A35" s="351" t="s">
        <v>345</v>
      </c>
      <c r="B35" s="169">
        <v>18959</v>
      </c>
      <c r="C35" s="162"/>
      <c r="D35" s="163" t="s">
        <v>416</v>
      </c>
      <c r="F35" s="101"/>
      <c r="G35" s="106"/>
      <c r="H35" s="98"/>
      <c r="I35" s="105"/>
      <c r="K35" s="138" t="s">
        <v>345</v>
      </c>
      <c r="L35" s="109">
        <v>18959</v>
      </c>
      <c r="M35" s="129"/>
      <c r="N35" s="236" t="s">
        <v>419</v>
      </c>
    </row>
    <row r="36" spans="1:14" ht="15" customHeight="1" x14ac:dyDescent="0.2">
      <c r="A36" s="166" t="s">
        <v>2</v>
      </c>
      <c r="B36" s="169"/>
      <c r="C36" s="162"/>
      <c r="D36" s="168" t="s">
        <v>6</v>
      </c>
      <c r="F36" s="103" t="s">
        <v>2</v>
      </c>
      <c r="G36" s="106"/>
      <c r="H36" s="98"/>
      <c r="I36" s="105" t="s">
        <v>6</v>
      </c>
      <c r="K36" s="135" t="s">
        <v>2</v>
      </c>
      <c r="L36" s="109"/>
      <c r="M36" s="129"/>
      <c r="N36" s="238" t="s">
        <v>6</v>
      </c>
    </row>
    <row r="37" spans="1:14" ht="15" customHeight="1" x14ac:dyDescent="0.2">
      <c r="A37" s="164" t="s">
        <v>3</v>
      </c>
      <c r="B37" s="169">
        <v>300000</v>
      </c>
      <c r="C37" s="162"/>
      <c r="D37" s="163"/>
      <c r="F37" s="101" t="s">
        <v>3</v>
      </c>
      <c r="G37" s="106">
        <v>300000</v>
      </c>
      <c r="H37" s="98"/>
      <c r="I37" s="99"/>
      <c r="K37" s="138" t="s">
        <v>3</v>
      </c>
      <c r="L37" s="109">
        <v>300000</v>
      </c>
      <c r="M37" s="129"/>
      <c r="N37" s="139"/>
    </row>
    <row r="38" spans="1:14" ht="15" customHeight="1" x14ac:dyDescent="0.2">
      <c r="A38" s="164" t="s">
        <v>264</v>
      </c>
      <c r="B38" s="169">
        <v>-13000</v>
      </c>
      <c r="C38" s="162"/>
      <c r="D38" s="163"/>
      <c r="F38" s="101" t="s">
        <v>264</v>
      </c>
      <c r="G38" s="106">
        <v>-13000</v>
      </c>
      <c r="H38" s="98"/>
      <c r="I38" s="99"/>
      <c r="K38" s="138" t="s">
        <v>264</v>
      </c>
      <c r="L38" s="109">
        <v>-13000</v>
      </c>
      <c r="M38" s="129"/>
      <c r="N38" s="236"/>
    </row>
    <row r="39" spans="1:14" ht="25.5" customHeight="1" x14ac:dyDescent="0.2">
      <c r="A39" s="164" t="s">
        <v>115</v>
      </c>
      <c r="B39" s="169">
        <v>0</v>
      </c>
      <c r="C39" s="162"/>
      <c r="D39" s="178" t="s">
        <v>504</v>
      </c>
      <c r="F39" s="101" t="s">
        <v>359</v>
      </c>
      <c r="G39" s="106">
        <v>0</v>
      </c>
      <c r="H39" s="98"/>
      <c r="I39" s="119"/>
      <c r="K39" s="138" t="s">
        <v>359</v>
      </c>
      <c r="L39" s="109">
        <v>0</v>
      </c>
      <c r="M39" s="129"/>
      <c r="N39" s="140" t="s">
        <v>420</v>
      </c>
    </row>
    <row r="40" spans="1:14" ht="25.5" customHeight="1" x14ac:dyDescent="0.2">
      <c r="A40" s="164" t="s">
        <v>428</v>
      </c>
      <c r="B40" s="169">
        <v>-89000</v>
      </c>
      <c r="C40" s="162"/>
      <c r="D40" s="178" t="s">
        <v>553</v>
      </c>
      <c r="F40" s="101" t="s">
        <v>428</v>
      </c>
      <c r="G40" s="106">
        <v>-79000</v>
      </c>
      <c r="H40" s="98"/>
      <c r="I40" s="119" t="s">
        <v>562</v>
      </c>
      <c r="K40" s="138" t="s">
        <v>428</v>
      </c>
      <c r="L40" s="109">
        <v>-99000</v>
      </c>
      <c r="M40" s="129"/>
      <c r="N40" s="140" t="s">
        <v>582</v>
      </c>
    </row>
    <row r="41" spans="1:14" ht="21.75" customHeight="1" x14ac:dyDescent="0.2">
      <c r="A41" s="164" t="s">
        <v>53</v>
      </c>
      <c r="B41" s="177">
        <v>0</v>
      </c>
      <c r="C41" s="162"/>
      <c r="D41" s="171" t="s">
        <v>406</v>
      </c>
      <c r="F41" s="101" t="s">
        <v>53</v>
      </c>
      <c r="G41" s="110">
        <v>0</v>
      </c>
      <c r="H41" s="98"/>
      <c r="I41" s="112"/>
      <c r="K41" s="138" t="s">
        <v>53</v>
      </c>
      <c r="L41" s="111">
        <v>0</v>
      </c>
      <c r="M41" s="129"/>
      <c r="N41" s="139"/>
    </row>
    <row r="42" spans="1:14" ht="15" customHeight="1" x14ac:dyDescent="0.2">
      <c r="A42" s="372" t="s">
        <v>45</v>
      </c>
      <c r="B42" s="392">
        <f>SUM(B37:B41)</f>
        <v>198000</v>
      </c>
      <c r="C42" s="162"/>
      <c r="D42" s="171"/>
      <c r="F42" s="393" t="s">
        <v>45</v>
      </c>
      <c r="G42" s="394">
        <f>G37+G39+G41+G38+G40</f>
        <v>208000</v>
      </c>
      <c r="H42" s="98"/>
      <c r="I42" s="112"/>
      <c r="K42" s="395" t="s">
        <v>45</v>
      </c>
      <c r="L42" s="334">
        <f>L37+L39+L41+L38+L40</f>
        <v>188000</v>
      </c>
      <c r="M42" s="129"/>
      <c r="N42" s="139"/>
    </row>
    <row r="43" spans="1:14" ht="15" customHeight="1" x14ac:dyDescent="0.2">
      <c r="A43" s="164" t="s">
        <v>104</v>
      </c>
      <c r="B43" s="169">
        <v>-13000</v>
      </c>
      <c r="C43" s="162"/>
      <c r="D43" s="178" t="s">
        <v>172</v>
      </c>
      <c r="F43" s="101" t="s">
        <v>265</v>
      </c>
      <c r="G43" s="106">
        <v>0</v>
      </c>
      <c r="H43" s="98"/>
      <c r="I43" s="112" t="s">
        <v>172</v>
      </c>
      <c r="K43" s="138" t="s">
        <v>265</v>
      </c>
      <c r="L43" s="109">
        <v>0</v>
      </c>
      <c r="M43" s="129"/>
      <c r="N43" s="140"/>
    </row>
    <row r="44" spans="1:14" ht="15" customHeight="1" x14ac:dyDescent="0.2">
      <c r="A44" s="164" t="s">
        <v>110</v>
      </c>
      <c r="B44" s="169">
        <v>0</v>
      </c>
      <c r="C44" s="162"/>
      <c r="D44" s="180" t="s">
        <v>252</v>
      </c>
      <c r="F44" s="101" t="s">
        <v>44</v>
      </c>
      <c r="G44" s="106">
        <v>0</v>
      </c>
      <c r="H44" s="98"/>
      <c r="I44" s="112" t="s">
        <v>252</v>
      </c>
      <c r="K44" s="138" t="s">
        <v>44</v>
      </c>
      <c r="L44" s="109">
        <v>0</v>
      </c>
      <c r="M44" s="129"/>
      <c r="N44" s="139" t="s">
        <v>252</v>
      </c>
    </row>
    <row r="45" spans="1:14" ht="15" customHeight="1" x14ac:dyDescent="0.2">
      <c r="A45" s="352" t="s">
        <v>275</v>
      </c>
      <c r="B45" s="353">
        <f>B42+B50+B51+B53</f>
        <v>198000</v>
      </c>
      <c r="C45" s="179"/>
      <c r="D45" s="178" t="s">
        <v>547</v>
      </c>
      <c r="F45" s="113" t="s">
        <v>46</v>
      </c>
      <c r="G45" s="114">
        <f>G42+G50+G51</f>
        <v>208000</v>
      </c>
      <c r="H45" s="120"/>
      <c r="I45" s="119" t="s">
        <v>563</v>
      </c>
      <c r="K45" s="141" t="s">
        <v>46</v>
      </c>
      <c r="L45" s="111">
        <f>L42+L50+L51+L53</f>
        <v>188000</v>
      </c>
      <c r="M45" s="134"/>
      <c r="N45" s="335" t="s">
        <v>583</v>
      </c>
    </row>
    <row r="46" spans="1:14" ht="15" customHeight="1" x14ac:dyDescent="0.2">
      <c r="A46" s="431" t="s">
        <v>455</v>
      </c>
      <c r="B46" s="169">
        <v>0</v>
      </c>
      <c r="C46" s="179"/>
      <c r="D46" s="180"/>
      <c r="F46" s="101" t="s">
        <v>17</v>
      </c>
      <c r="G46" s="106">
        <v>0</v>
      </c>
      <c r="H46" s="120"/>
      <c r="I46" s="108"/>
      <c r="K46" s="138" t="s">
        <v>17</v>
      </c>
      <c r="L46" s="109">
        <v>0</v>
      </c>
      <c r="M46" s="134"/>
      <c r="N46" s="245"/>
    </row>
    <row r="47" spans="1:14" ht="15" customHeight="1" x14ac:dyDescent="0.2">
      <c r="A47" s="431" t="s">
        <v>456</v>
      </c>
      <c r="B47" s="169">
        <v>0</v>
      </c>
      <c r="C47" s="179"/>
      <c r="D47" s="163"/>
      <c r="F47" s="101" t="s">
        <v>18</v>
      </c>
      <c r="G47" s="106">
        <v>0</v>
      </c>
      <c r="H47" s="120"/>
      <c r="I47" s="99"/>
      <c r="K47" s="138" t="s">
        <v>18</v>
      </c>
      <c r="L47" s="109">
        <v>0</v>
      </c>
      <c r="M47" s="134"/>
      <c r="N47" s="236"/>
    </row>
    <row r="48" spans="1:14" ht="15" customHeight="1" x14ac:dyDescent="0.2">
      <c r="A48" s="431" t="s">
        <v>457</v>
      </c>
      <c r="B48" s="169">
        <v>0</v>
      </c>
      <c r="C48" s="162"/>
      <c r="D48" s="178"/>
      <c r="F48" s="121" t="s">
        <v>47</v>
      </c>
      <c r="G48" s="106">
        <v>0</v>
      </c>
      <c r="H48" s="98"/>
      <c r="I48" s="119"/>
      <c r="K48" s="133" t="s">
        <v>47</v>
      </c>
      <c r="L48" s="109">
        <v>0</v>
      </c>
      <c r="M48" s="129"/>
      <c r="N48" s="244"/>
    </row>
    <row r="49" spans="1:14" ht="11.4" x14ac:dyDescent="0.2">
      <c r="A49" s="431" t="s">
        <v>357</v>
      </c>
      <c r="B49" s="169">
        <v>35000</v>
      </c>
      <c r="C49" s="179"/>
      <c r="D49" s="163"/>
      <c r="F49" s="101" t="s">
        <v>54</v>
      </c>
      <c r="G49" s="106">
        <v>35000</v>
      </c>
      <c r="H49" s="120"/>
      <c r="I49" s="99" t="s">
        <v>417</v>
      </c>
      <c r="K49" s="138" t="s">
        <v>382</v>
      </c>
      <c r="L49" s="109">
        <v>35000</v>
      </c>
      <c r="M49" s="134"/>
      <c r="N49" s="236" t="s">
        <v>517</v>
      </c>
    </row>
    <row r="50" spans="1:14" ht="15" customHeight="1" x14ac:dyDescent="0.2">
      <c r="A50" s="164" t="s">
        <v>354</v>
      </c>
      <c r="B50" s="169">
        <v>0</v>
      </c>
      <c r="C50" s="179"/>
      <c r="D50" s="163"/>
      <c r="F50" s="101" t="s">
        <v>354</v>
      </c>
      <c r="G50" s="106">
        <v>0</v>
      </c>
      <c r="H50" s="120"/>
      <c r="I50" s="99"/>
      <c r="K50" s="138" t="s">
        <v>354</v>
      </c>
      <c r="L50" s="109">
        <v>0</v>
      </c>
      <c r="M50" s="134"/>
      <c r="N50" s="236" t="s">
        <v>412</v>
      </c>
    </row>
    <row r="51" spans="1:14" ht="15" customHeight="1" x14ac:dyDescent="0.2">
      <c r="A51" s="164" t="s">
        <v>274</v>
      </c>
      <c r="B51" s="169">
        <v>0</v>
      </c>
      <c r="C51" s="179"/>
      <c r="D51" s="163"/>
      <c r="F51" s="101" t="s">
        <v>274</v>
      </c>
      <c r="G51" s="106">
        <v>0</v>
      </c>
      <c r="H51" s="120"/>
      <c r="I51" s="99"/>
      <c r="K51" s="138" t="s">
        <v>274</v>
      </c>
      <c r="L51" s="109">
        <v>0</v>
      </c>
      <c r="M51" s="134"/>
      <c r="N51" s="236" t="s">
        <v>410</v>
      </c>
    </row>
    <row r="52" spans="1:14" ht="15" customHeight="1" x14ac:dyDescent="0.2">
      <c r="A52" s="164" t="s">
        <v>345</v>
      </c>
      <c r="B52" s="169">
        <f>8000+20362</f>
        <v>28362</v>
      </c>
      <c r="C52" s="179"/>
      <c r="D52" s="163" t="s">
        <v>584</v>
      </c>
      <c r="F52" s="101" t="s">
        <v>345</v>
      </c>
      <c r="G52" s="106">
        <v>0</v>
      </c>
      <c r="H52" s="120"/>
      <c r="I52" s="99"/>
      <c r="K52" s="138" t="s">
        <v>345</v>
      </c>
      <c r="L52" s="109">
        <v>28362</v>
      </c>
      <c r="M52" s="134"/>
      <c r="N52" s="236" t="s">
        <v>584</v>
      </c>
    </row>
    <row r="53" spans="1:14" ht="15" customHeight="1" x14ac:dyDescent="0.2">
      <c r="A53" s="164" t="s">
        <v>411</v>
      </c>
      <c r="B53" s="169">
        <v>0</v>
      </c>
      <c r="C53" s="179"/>
      <c r="D53" s="163"/>
      <c r="F53" s="101"/>
      <c r="G53" s="106"/>
      <c r="H53" s="120"/>
      <c r="I53" s="99"/>
      <c r="K53" s="138" t="s">
        <v>411</v>
      </c>
      <c r="L53" s="109">
        <v>0</v>
      </c>
      <c r="M53" s="134"/>
      <c r="N53" s="236"/>
    </row>
    <row r="54" spans="1:14" ht="12.6" thickBot="1" x14ac:dyDescent="0.25">
      <c r="A54" s="203" t="s">
        <v>49</v>
      </c>
      <c r="B54" s="183">
        <f>SUM(B15,B32,B45)</f>
        <v>6219490</v>
      </c>
      <c r="C54" s="184"/>
      <c r="D54" s="185"/>
      <c r="F54" s="122" t="s">
        <v>49</v>
      </c>
      <c r="G54" s="123">
        <f>SUM(G15,G32,G45)</f>
        <v>6462491</v>
      </c>
      <c r="H54" s="194"/>
      <c r="I54" s="150"/>
      <c r="K54" s="142" t="s">
        <v>49</v>
      </c>
      <c r="L54" s="143">
        <f>SUM(L15,L32,L45)</f>
        <v>6186881</v>
      </c>
      <c r="M54" s="195"/>
      <c r="N54" s="246"/>
    </row>
    <row r="55" spans="1:14" ht="37.799999999999997" customHeight="1" x14ac:dyDescent="0.2">
      <c r="A55" s="205" t="s">
        <v>134</v>
      </c>
      <c r="B55" s="204">
        <f>1500000-50000-30000-67000-70689+21647</f>
        <v>1303958</v>
      </c>
      <c r="C55" s="205"/>
      <c r="D55" s="232" t="s">
        <v>585</v>
      </c>
      <c r="F55" s="207" t="s">
        <v>134</v>
      </c>
      <c r="G55" s="208">
        <f>1500000-50000-30000-67000-70689+21647</f>
        <v>1303958</v>
      </c>
      <c r="H55" s="209"/>
      <c r="I55" s="233" t="s">
        <v>585</v>
      </c>
      <c r="K55" s="210" t="s">
        <v>134</v>
      </c>
      <c r="L55" s="211">
        <f>1500000-50000-30000-67000-70689+21647</f>
        <v>1303958</v>
      </c>
      <c r="M55" s="212"/>
      <c r="N55" s="234" t="s">
        <v>585</v>
      </c>
    </row>
    <row r="56" spans="1:14" ht="15" customHeight="1" thickBot="1" x14ac:dyDescent="0.25">
      <c r="A56" s="203" t="s">
        <v>135</v>
      </c>
      <c r="B56" s="183">
        <f>B54+B55</f>
        <v>7523448</v>
      </c>
      <c r="C56" s="184"/>
      <c r="D56" s="185"/>
      <c r="F56" s="206" t="s">
        <v>135</v>
      </c>
      <c r="G56" s="123">
        <f>G54+G55</f>
        <v>7766449</v>
      </c>
      <c r="H56" s="124"/>
      <c r="I56" s="150"/>
      <c r="K56" s="213" t="s">
        <v>135</v>
      </c>
      <c r="L56" s="143">
        <f>L54+L55</f>
        <v>7490839</v>
      </c>
      <c r="M56" s="144"/>
      <c r="N56" s="246"/>
    </row>
    <row r="57" spans="1:14" ht="15" customHeight="1" x14ac:dyDescent="0.2">
      <c r="B57" s="117"/>
      <c r="D57" s="117"/>
    </row>
    <row r="58" spans="1:14" ht="15" customHeight="1" x14ac:dyDescent="0.2">
      <c r="D58" s="126"/>
    </row>
    <row r="63" spans="1:14" ht="15" customHeight="1" x14ac:dyDescent="0.2">
      <c r="M63" s="117"/>
      <c r="N63" s="248"/>
    </row>
    <row r="64" spans="1:14" ht="15" customHeight="1" x14ac:dyDescent="0.2">
      <c r="M64" s="117"/>
    </row>
    <row r="65" spans="4:13" ht="15" customHeight="1" x14ac:dyDescent="0.2">
      <c r="D65" s="95" t="s">
        <v>569</v>
      </c>
      <c r="M65" s="202"/>
    </row>
    <row r="66" spans="4:13" ht="15" customHeight="1" x14ac:dyDescent="0.2">
      <c r="M66" s="20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CF52-8950-4CBE-8A90-4449BCE99F0A}">
  <sheetPr codeName="Sheet15">
    <tabColor rgb="FFFF0000"/>
  </sheetPr>
  <dimension ref="A1:AS66"/>
  <sheetViews>
    <sheetView topLeftCell="J29" zoomScale="110" zoomScaleNormal="110" workbookViewId="0">
      <selection activeCell="N51" sqref="N51"/>
    </sheetView>
  </sheetViews>
  <sheetFormatPr defaultColWidth="8.5546875" defaultRowHeight="15" customHeight="1" x14ac:dyDescent="0.2"/>
  <cols>
    <col min="1" max="1" width="61.44140625" style="95" bestFit="1" customWidth="1"/>
    <col min="2" max="2" width="11.5546875" style="95" bestFit="1" customWidth="1"/>
    <col min="3" max="3" width="4.5546875" style="95" customWidth="1"/>
    <col min="4" max="4" width="71.44140625" style="95" bestFit="1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52.44140625" style="95" customWidth="1"/>
    <col min="12" max="12" width="11.5546875" style="95" bestFit="1" customWidth="1"/>
    <col min="13" max="13" width="4.5546875" style="95" customWidth="1"/>
    <col min="14" max="14" width="56.10937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508</v>
      </c>
      <c r="B1" s="156">
        <f>952581-950000</f>
        <v>2581</v>
      </c>
      <c r="C1" s="156"/>
      <c r="D1" s="555">
        <f>424/0.9</f>
        <v>471.11111111111109</v>
      </c>
      <c r="E1" s="125"/>
      <c r="F1" s="145" t="s">
        <v>508</v>
      </c>
      <c r="G1" s="152">
        <f>1117072+1140000</f>
        <v>2257072</v>
      </c>
      <c r="H1" s="152"/>
      <c r="I1" s="153"/>
      <c r="K1" s="147" t="s">
        <v>508</v>
      </c>
      <c r="L1" s="154">
        <f>45259/2</f>
        <v>22629.5</v>
      </c>
      <c r="M1" s="154"/>
      <c r="N1" s="235"/>
    </row>
    <row r="2" spans="1:45" ht="15" customHeight="1" x14ac:dyDescent="0.2">
      <c r="A2" s="158" t="s">
        <v>50</v>
      </c>
      <c r="B2" s="159"/>
      <c r="C2" s="159"/>
      <c r="D2" s="160">
        <f>44271+8991-(573/0.9)</f>
        <v>52625.333333333336</v>
      </c>
      <c r="F2" s="146" t="s">
        <v>107</v>
      </c>
      <c r="G2" s="98">
        <f>1140000-1112703</f>
        <v>27297</v>
      </c>
      <c r="H2" s="98"/>
      <c r="I2" s="99"/>
      <c r="K2" s="148" t="s">
        <v>108</v>
      </c>
      <c r="L2" s="129"/>
      <c r="M2" s="129"/>
      <c r="N2" s="236">
        <f>(49054)/0.9</f>
        <v>54504.444444444445</v>
      </c>
    </row>
    <row r="3" spans="1:45" ht="15" customHeight="1" x14ac:dyDescent="0.2">
      <c r="A3" s="161" t="s">
        <v>267</v>
      </c>
      <c r="B3" s="162"/>
      <c r="C3" s="162"/>
      <c r="D3" s="163"/>
      <c r="E3" s="125"/>
      <c r="F3" s="100" t="s">
        <v>267</v>
      </c>
      <c r="G3" s="98"/>
      <c r="H3" s="106"/>
      <c r="I3" s="99"/>
      <c r="K3" s="131" t="s">
        <v>267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B33+B46</f>
        <v>0</v>
      </c>
      <c r="C7" s="162"/>
      <c r="D7" s="170"/>
      <c r="F7" s="101" t="s">
        <v>34</v>
      </c>
      <c r="G7" s="106">
        <f>G33+G46</f>
        <v>0</v>
      </c>
      <c r="H7" s="98"/>
      <c r="I7" s="106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v>0</v>
      </c>
      <c r="C8" s="162"/>
      <c r="D8" s="170" t="s">
        <v>576</v>
      </c>
      <c r="F8" s="101" t="s">
        <v>36</v>
      </c>
      <c r="G8" s="106">
        <f>200000+27297+22928</f>
        <v>250225</v>
      </c>
      <c r="H8" s="98"/>
      <c r="I8" s="107" t="s">
        <v>544</v>
      </c>
      <c r="K8" s="138" t="s">
        <v>36</v>
      </c>
      <c r="L8" s="109">
        <v>0</v>
      </c>
      <c r="M8" s="129"/>
      <c r="N8" s="236" t="s">
        <v>586</v>
      </c>
    </row>
    <row r="9" spans="1:45" ht="15" customHeight="1" x14ac:dyDescent="0.2">
      <c r="A9" s="164" t="s">
        <v>37</v>
      </c>
      <c r="B9" s="169"/>
      <c r="C9" s="162"/>
      <c r="D9" s="171" t="s">
        <v>61</v>
      </c>
      <c r="E9" s="117"/>
      <c r="F9" s="101" t="s">
        <v>37</v>
      </c>
      <c r="G9" s="106">
        <v>0</v>
      </c>
      <c r="H9" s="98"/>
      <c r="I9" s="112"/>
      <c r="K9" s="138" t="s">
        <v>37</v>
      </c>
      <c r="L9" s="109">
        <v>0</v>
      </c>
      <c r="M9" s="129"/>
      <c r="N9" s="236" t="s">
        <v>61</v>
      </c>
    </row>
    <row r="10" spans="1:45" ht="15" customHeight="1" x14ac:dyDescent="0.2">
      <c r="A10" s="164" t="s">
        <v>523</v>
      </c>
      <c r="B10" s="169"/>
      <c r="C10" s="162"/>
      <c r="D10" s="171"/>
      <c r="E10" s="117"/>
      <c r="F10" s="101" t="s">
        <v>523</v>
      </c>
      <c r="G10" s="106"/>
      <c r="H10" s="98"/>
      <c r="I10" s="112"/>
      <c r="K10" s="138" t="s">
        <v>523</v>
      </c>
      <c r="L10" s="109">
        <v>0</v>
      </c>
      <c r="M10" s="129"/>
      <c r="N10" s="236"/>
    </row>
    <row r="11" spans="1:45" ht="15" customHeight="1" x14ac:dyDescent="0.2">
      <c r="A11" s="164" t="s">
        <v>375</v>
      </c>
      <c r="B11" s="169"/>
      <c r="C11" s="162"/>
      <c r="D11" s="171"/>
      <c r="E11" s="117"/>
      <c r="F11" s="101" t="s">
        <v>375</v>
      </c>
      <c r="G11" s="106"/>
      <c r="H11" s="98"/>
      <c r="I11" s="112"/>
      <c r="K11" s="138" t="s">
        <v>375</v>
      </c>
      <c r="L11" s="109"/>
      <c r="M11" s="129"/>
      <c r="N11" s="236"/>
    </row>
    <row r="12" spans="1:45" ht="15" customHeight="1" x14ac:dyDescent="0.2">
      <c r="A12" s="164" t="s">
        <v>175</v>
      </c>
      <c r="B12" s="169">
        <f>-'System Conservation'!AM2</f>
        <v>0</v>
      </c>
      <c r="C12" s="162"/>
      <c r="D12" s="163"/>
      <c r="E12" s="117"/>
      <c r="F12" s="101" t="s">
        <v>175</v>
      </c>
      <c r="G12" s="106">
        <f>B12</f>
        <v>0</v>
      </c>
      <c r="H12" s="98"/>
      <c r="I12" s="99"/>
      <c r="K12" s="138" t="s">
        <v>175</v>
      </c>
      <c r="L12" s="109">
        <f>-'System Conservation'!AM2</f>
        <v>0</v>
      </c>
      <c r="M12" s="129"/>
      <c r="N12" s="239"/>
    </row>
    <row r="13" spans="1:45" ht="15" customHeight="1" x14ac:dyDescent="0.2">
      <c r="A13" s="164" t="s">
        <v>105</v>
      </c>
      <c r="B13" s="177">
        <v>-145</v>
      </c>
      <c r="C13" s="162"/>
      <c r="D13" s="171"/>
      <c r="F13" s="101" t="s">
        <v>105</v>
      </c>
      <c r="G13" s="110">
        <v>-145</v>
      </c>
      <c r="H13" s="98"/>
      <c r="I13" s="99"/>
      <c r="K13" s="138" t="s">
        <v>105</v>
      </c>
      <c r="L13" s="111">
        <v>-145</v>
      </c>
      <c r="M13" s="129"/>
      <c r="N13" s="236"/>
      <c r="AO13" s="117"/>
      <c r="AP13" s="117"/>
      <c r="AQ13" s="117"/>
      <c r="AS13" s="117"/>
    </row>
    <row r="14" spans="1:45" ht="15" customHeight="1" x14ac:dyDescent="0.2">
      <c r="A14" s="164" t="s">
        <v>41</v>
      </c>
      <c r="B14" s="169">
        <f>SUM(B6:B13)</f>
        <v>4399855</v>
      </c>
      <c r="C14" s="162"/>
      <c r="D14" s="171"/>
      <c r="F14" s="101" t="s">
        <v>41</v>
      </c>
      <c r="G14" s="106">
        <f>SUM(G6:G13)</f>
        <v>4650080</v>
      </c>
      <c r="H14" s="98"/>
      <c r="I14" s="112"/>
      <c r="K14" s="138" t="s">
        <v>41</v>
      </c>
      <c r="L14" s="109">
        <f>SUM(L6:L13)</f>
        <v>4399855</v>
      </c>
      <c r="M14" s="129"/>
      <c r="N14" s="139"/>
    </row>
    <row r="15" spans="1:45" ht="15" customHeight="1" x14ac:dyDescent="0.2">
      <c r="A15" s="172" t="s">
        <v>40</v>
      </c>
      <c r="B15" s="173">
        <f>B14+B16</f>
        <v>4399855</v>
      </c>
      <c r="C15" s="162"/>
      <c r="D15" s="174"/>
      <c r="F15" s="113" t="s">
        <v>40</v>
      </c>
      <c r="G15" s="114">
        <f>G14+G16</f>
        <v>4650080</v>
      </c>
      <c r="H15" s="106"/>
      <c r="I15" s="149"/>
      <c r="K15" s="141" t="s">
        <v>40</v>
      </c>
      <c r="L15" s="116">
        <f>L14+L16</f>
        <v>4399855</v>
      </c>
      <c r="M15" s="129"/>
      <c r="N15" s="240"/>
      <c r="AO15" s="117"/>
      <c r="AP15" s="117"/>
      <c r="AQ15" s="117"/>
      <c r="AS15" s="117"/>
    </row>
    <row r="16" spans="1:45" ht="15" customHeight="1" x14ac:dyDescent="0.2">
      <c r="A16" s="164" t="s">
        <v>17</v>
      </c>
      <c r="B16" s="169">
        <v>0</v>
      </c>
      <c r="C16" s="162"/>
      <c r="D16" s="175"/>
      <c r="F16" s="101" t="s">
        <v>17</v>
      </c>
      <c r="G16" s="106">
        <v>0</v>
      </c>
      <c r="H16" s="98"/>
      <c r="I16" s="115"/>
      <c r="K16" s="138" t="s">
        <v>17</v>
      </c>
      <c r="L16" s="109">
        <v>0</v>
      </c>
      <c r="M16" s="109"/>
      <c r="N16" s="240"/>
    </row>
    <row r="17" spans="1:43" ht="15" customHeight="1" x14ac:dyDescent="0.2">
      <c r="A17" s="164" t="s">
        <v>18</v>
      </c>
      <c r="B17" s="169">
        <v>0</v>
      </c>
      <c r="C17" s="162"/>
      <c r="D17" s="175"/>
      <c r="F17" s="101" t="s">
        <v>18</v>
      </c>
      <c r="G17" s="106">
        <v>0</v>
      </c>
      <c r="H17" s="98"/>
      <c r="I17" s="115"/>
      <c r="K17" s="138" t="s">
        <v>18</v>
      </c>
      <c r="L17" s="109">
        <v>0</v>
      </c>
      <c r="M17" s="129"/>
      <c r="N17" s="240"/>
      <c r="AO17" s="117"/>
      <c r="AP17" s="117"/>
      <c r="AQ17" s="117"/>
    </row>
    <row r="18" spans="1:43" ht="15" customHeight="1" x14ac:dyDescent="0.2">
      <c r="A18" s="164"/>
      <c r="B18" s="169"/>
      <c r="C18" s="162"/>
      <c r="D18" s="175"/>
      <c r="F18" s="101"/>
      <c r="G18" s="106"/>
      <c r="H18" s="98"/>
      <c r="I18" s="115"/>
      <c r="K18" s="138" t="s">
        <v>506</v>
      </c>
      <c r="L18" s="109"/>
      <c r="M18" s="129"/>
      <c r="N18" s="484" t="s">
        <v>507</v>
      </c>
      <c r="AO18" s="117"/>
      <c r="AP18" s="117"/>
      <c r="AQ18" s="117"/>
    </row>
    <row r="19" spans="1:43" ht="15" customHeight="1" x14ac:dyDescent="0.2">
      <c r="A19" s="164"/>
      <c r="B19" s="169"/>
      <c r="C19" s="162"/>
      <c r="D19" s="176"/>
      <c r="F19" s="101"/>
      <c r="G19" s="106"/>
      <c r="H19" s="98"/>
      <c r="I19" s="118"/>
      <c r="K19" s="138" t="s">
        <v>483</v>
      </c>
      <c r="L19" s="109">
        <f>L15+L18</f>
        <v>4399855</v>
      </c>
      <c r="M19" s="129"/>
      <c r="N19" s="241"/>
    </row>
    <row r="20" spans="1:43" ht="15" customHeight="1" x14ac:dyDescent="0.2">
      <c r="A20" s="166" t="s">
        <v>1</v>
      </c>
      <c r="B20" s="167" t="s">
        <v>5</v>
      </c>
      <c r="C20" s="162"/>
      <c r="D20" s="168" t="s">
        <v>6</v>
      </c>
      <c r="F20" s="103" t="s">
        <v>1</v>
      </c>
      <c r="G20" s="104" t="s">
        <v>5</v>
      </c>
      <c r="H20" s="98"/>
      <c r="I20" s="105" t="s">
        <v>6</v>
      </c>
      <c r="K20" s="135" t="s">
        <v>1</v>
      </c>
      <c r="L20" s="136" t="s">
        <v>5</v>
      </c>
      <c r="M20" s="129"/>
      <c r="N20" s="238" t="s">
        <v>6</v>
      </c>
      <c r="AO20" s="117"/>
      <c r="AP20" s="117"/>
      <c r="AQ20" s="117"/>
    </row>
    <row r="21" spans="1:43" ht="15" customHeight="1" x14ac:dyDescent="0.2">
      <c r="A21" s="164" t="s">
        <v>3</v>
      </c>
      <c r="B21" s="169">
        <v>2800000</v>
      </c>
      <c r="C21" s="162"/>
      <c r="D21" s="163">
        <f>50000-1604/0.9</f>
        <v>48217.777777777781</v>
      </c>
      <c r="F21" s="101" t="s">
        <v>3</v>
      </c>
      <c r="G21" s="106">
        <v>2800000</v>
      </c>
      <c r="H21" s="98"/>
      <c r="I21" s="99"/>
      <c r="K21" s="138" t="s">
        <v>3</v>
      </c>
      <c r="L21" s="109">
        <v>2800000</v>
      </c>
      <c r="M21" s="129"/>
      <c r="N21" s="236"/>
      <c r="AO21" s="117"/>
      <c r="AP21" s="117"/>
      <c r="AQ21" s="117"/>
    </row>
    <row r="22" spans="1:43" ht="15" customHeight="1" x14ac:dyDescent="0.2">
      <c r="A22" s="164" t="s">
        <v>132</v>
      </c>
      <c r="B22" s="169">
        <v>0</v>
      </c>
      <c r="C22" s="162"/>
      <c r="D22" s="163"/>
      <c r="F22" s="101" t="s">
        <v>132</v>
      </c>
      <c r="G22" s="106">
        <v>0</v>
      </c>
      <c r="H22" s="98"/>
      <c r="I22" s="99"/>
      <c r="K22" s="138" t="s">
        <v>132</v>
      </c>
      <c r="L22" s="109">
        <v>0</v>
      </c>
      <c r="M22" s="129"/>
      <c r="N22" s="236"/>
    </row>
    <row r="23" spans="1:43" ht="15" customHeight="1" x14ac:dyDescent="0.2">
      <c r="A23" s="164" t="s">
        <v>35</v>
      </c>
      <c r="B23" s="169">
        <v>0</v>
      </c>
      <c r="C23" s="162"/>
      <c r="D23" s="163" t="s">
        <v>565</v>
      </c>
      <c r="F23" s="101" t="s">
        <v>35</v>
      </c>
      <c r="G23" s="106">
        <v>0</v>
      </c>
      <c r="H23" s="98"/>
      <c r="I23" s="99" t="s">
        <v>579</v>
      </c>
      <c r="K23" s="138" t="s">
        <v>35</v>
      </c>
      <c r="L23" s="109">
        <v>0</v>
      </c>
      <c r="M23" s="129"/>
      <c r="N23" s="236" t="s">
        <v>588</v>
      </c>
    </row>
    <row r="24" spans="1:43" ht="15" customHeight="1" x14ac:dyDescent="0.2">
      <c r="A24" s="164" t="s">
        <v>111</v>
      </c>
      <c r="B24" s="169">
        <v>0</v>
      </c>
      <c r="C24" s="162"/>
      <c r="D24" s="163"/>
      <c r="F24" s="101" t="s">
        <v>111</v>
      </c>
      <c r="G24" s="106">
        <v>0</v>
      </c>
      <c r="H24" s="98"/>
      <c r="I24" s="99"/>
      <c r="K24" s="138" t="s">
        <v>111</v>
      </c>
      <c r="L24" s="109">
        <v>0</v>
      </c>
      <c r="M24" s="129"/>
      <c r="N24" s="265"/>
    </row>
    <row r="25" spans="1:43" ht="15" customHeight="1" x14ac:dyDescent="0.2">
      <c r="A25" s="164" t="s">
        <v>21</v>
      </c>
      <c r="B25" s="169">
        <v>0</v>
      </c>
      <c r="C25" s="162"/>
      <c r="D25" s="163"/>
      <c r="F25" s="101" t="s">
        <v>21</v>
      </c>
      <c r="G25" s="106">
        <v>0</v>
      </c>
      <c r="H25" s="98"/>
      <c r="I25" s="99"/>
      <c r="K25" s="138" t="s">
        <v>21</v>
      </c>
      <c r="L25" s="109">
        <v>0</v>
      </c>
      <c r="M25" s="129"/>
      <c r="N25" s="236"/>
    </row>
    <row r="26" spans="1:43" ht="15" customHeight="1" x14ac:dyDescent="0.2">
      <c r="A26" s="164" t="s">
        <v>103</v>
      </c>
      <c r="B26" s="169">
        <v>0</v>
      </c>
      <c r="C26" s="162"/>
      <c r="D26" s="163"/>
      <c r="F26" s="101" t="s">
        <v>103</v>
      </c>
      <c r="G26" s="106">
        <f>B26</f>
        <v>0</v>
      </c>
      <c r="H26" s="98"/>
      <c r="I26" s="99"/>
      <c r="K26" s="138" t="s">
        <v>103</v>
      </c>
      <c r="L26" s="109">
        <f>B26</f>
        <v>0</v>
      </c>
      <c r="M26" s="129"/>
      <c r="N26" s="236"/>
    </row>
    <row r="27" spans="1:43" ht="15" customHeight="1" x14ac:dyDescent="0.2">
      <c r="A27" s="164" t="s">
        <v>113</v>
      </c>
      <c r="B27" s="169">
        <f>-SUM('System Conservation'!W2+'System Conservation'!AE2)</f>
        <v>-74805</v>
      </c>
      <c r="C27" s="162"/>
      <c r="D27" s="163" t="s">
        <v>343</v>
      </c>
      <c r="F27" s="101" t="s">
        <v>113</v>
      </c>
      <c r="G27" s="106">
        <f>B27</f>
        <v>-74805</v>
      </c>
      <c r="H27" s="98"/>
      <c r="I27" s="99" t="s">
        <v>343</v>
      </c>
      <c r="K27" s="138" t="s">
        <v>113</v>
      </c>
      <c r="L27" s="109">
        <f>B27</f>
        <v>-74805</v>
      </c>
      <c r="M27" s="129"/>
      <c r="N27" s="236" t="s">
        <v>343</v>
      </c>
    </row>
    <row r="28" spans="1:43" s="197" customFormat="1" ht="15" customHeight="1" x14ac:dyDescent="0.25">
      <c r="A28" s="172" t="s">
        <v>130</v>
      </c>
      <c r="B28" s="173">
        <f>SUM(B21:B27)</f>
        <v>2725195</v>
      </c>
      <c r="C28" s="196"/>
      <c r="D28" s="189"/>
      <c r="F28" s="113" t="s">
        <v>130</v>
      </c>
      <c r="G28" s="231">
        <f>SUM(G21:G27)</f>
        <v>2725195</v>
      </c>
      <c r="H28" s="198"/>
      <c r="I28" s="201"/>
      <c r="K28" s="141" t="s">
        <v>130</v>
      </c>
      <c r="L28" s="116">
        <f>SUM(L21:L27)</f>
        <v>2725195</v>
      </c>
      <c r="M28" s="199"/>
      <c r="N28" s="242"/>
    </row>
    <row r="29" spans="1:43" ht="30.75" customHeight="1" x14ac:dyDescent="0.2">
      <c r="A29" s="164" t="s">
        <v>110</v>
      </c>
      <c r="B29" s="169">
        <v>-192000</v>
      </c>
      <c r="C29" s="162"/>
      <c r="D29" s="232" t="s">
        <v>577</v>
      </c>
      <c r="F29" s="101" t="s">
        <v>110</v>
      </c>
      <c r="G29" s="106">
        <v>-192000</v>
      </c>
      <c r="H29" s="98"/>
      <c r="I29" s="99" t="s">
        <v>543</v>
      </c>
      <c r="K29" s="138" t="s">
        <v>110</v>
      </c>
      <c r="L29" s="109">
        <v>-192000</v>
      </c>
      <c r="M29" s="129"/>
      <c r="N29" s="236" t="s">
        <v>587</v>
      </c>
    </row>
    <row r="30" spans="1:43" ht="34.35" customHeight="1" x14ac:dyDescent="0.2">
      <c r="A30" s="164" t="s">
        <v>129</v>
      </c>
      <c r="B30" s="169">
        <v>45259</v>
      </c>
      <c r="C30" s="162"/>
      <c r="D30" s="232" t="s">
        <v>566</v>
      </c>
      <c r="F30" s="101" t="s">
        <v>129</v>
      </c>
      <c r="G30" s="106">
        <v>52390</v>
      </c>
      <c r="H30" s="98"/>
      <c r="I30" s="99" t="s">
        <v>580</v>
      </c>
      <c r="K30" s="138" t="s">
        <v>129</v>
      </c>
      <c r="L30" s="109">
        <v>45259</v>
      </c>
      <c r="M30" s="129"/>
      <c r="N30" s="236" t="s">
        <v>518</v>
      </c>
    </row>
    <row r="31" spans="1:43" ht="15" customHeight="1" x14ac:dyDescent="0.2">
      <c r="A31" s="164" t="s">
        <v>133</v>
      </c>
      <c r="B31" s="169">
        <v>-320000</v>
      </c>
      <c r="C31" s="162"/>
      <c r="D31" s="163" t="s">
        <v>150</v>
      </c>
      <c r="F31" s="101" t="s">
        <v>133</v>
      </c>
      <c r="G31" s="106">
        <v>-320000</v>
      </c>
      <c r="H31" s="98"/>
      <c r="I31" s="99" t="s">
        <v>150</v>
      </c>
      <c r="K31" s="138" t="s">
        <v>133</v>
      </c>
      <c r="L31" s="109">
        <v>-320000</v>
      </c>
      <c r="M31" s="129"/>
      <c r="N31" s="236" t="s">
        <v>150</v>
      </c>
    </row>
    <row r="32" spans="1:43" s="197" customFormat="1" ht="15" customHeight="1" x14ac:dyDescent="0.25">
      <c r="A32" s="172" t="s">
        <v>43</v>
      </c>
      <c r="B32" s="173">
        <f>SUM(B28:B31)</f>
        <v>2258454</v>
      </c>
      <c r="C32" s="196"/>
      <c r="D32" s="200"/>
      <c r="F32" s="113" t="s">
        <v>43</v>
      </c>
      <c r="G32" s="114">
        <f>SUM(G28:G31)</f>
        <v>2265585</v>
      </c>
      <c r="H32" s="198"/>
      <c r="I32" s="230"/>
      <c r="K32" s="141" t="s">
        <v>43</v>
      </c>
      <c r="L32" s="116">
        <f>SUM(L28:L31)</f>
        <v>2258454</v>
      </c>
      <c r="M32" s="199"/>
      <c r="N32" s="243"/>
    </row>
    <row r="33" spans="1:14" ht="15" customHeight="1" x14ac:dyDescent="0.2">
      <c r="A33" s="164" t="s">
        <v>17</v>
      </c>
      <c r="B33" s="169">
        <v>0</v>
      </c>
      <c r="C33" s="162"/>
      <c r="D33" s="163"/>
      <c r="F33" s="101" t="s">
        <v>17</v>
      </c>
      <c r="G33" s="106">
        <v>0</v>
      </c>
      <c r="H33" s="98"/>
      <c r="I33" s="99"/>
      <c r="K33" s="138" t="s">
        <v>17</v>
      </c>
      <c r="L33" s="109">
        <v>0</v>
      </c>
      <c r="M33" s="129"/>
      <c r="N33" s="236"/>
    </row>
    <row r="34" spans="1:14" ht="15" customHeight="1" x14ac:dyDescent="0.2">
      <c r="A34" s="164" t="s">
        <v>18</v>
      </c>
      <c r="B34" s="169">
        <v>0</v>
      </c>
      <c r="C34" s="162"/>
      <c r="D34" s="163"/>
      <c r="F34" s="101" t="s">
        <v>18</v>
      </c>
      <c r="G34" s="106">
        <v>0</v>
      </c>
      <c r="H34" s="98"/>
      <c r="I34" s="99"/>
      <c r="K34" s="138" t="s">
        <v>18</v>
      </c>
      <c r="L34" s="109">
        <v>0</v>
      </c>
      <c r="M34" s="129"/>
      <c r="N34" s="236"/>
    </row>
    <row r="35" spans="1:14" ht="15" customHeight="1" x14ac:dyDescent="0.2">
      <c r="A35" s="351" t="s">
        <v>345</v>
      </c>
      <c r="B35" s="169">
        <v>0</v>
      </c>
      <c r="C35" s="162"/>
      <c r="D35" s="163" t="s">
        <v>416</v>
      </c>
      <c r="F35" s="101"/>
      <c r="G35" s="106"/>
      <c r="H35" s="98"/>
      <c r="I35" s="105"/>
      <c r="K35" s="138" t="s">
        <v>345</v>
      </c>
      <c r="L35" s="109">
        <v>0</v>
      </c>
      <c r="M35" s="129"/>
      <c r="N35" s="236" t="s">
        <v>419</v>
      </c>
    </row>
    <row r="36" spans="1:14" ht="15" customHeight="1" x14ac:dyDescent="0.2">
      <c r="A36" s="166" t="s">
        <v>2</v>
      </c>
      <c r="B36" s="169"/>
      <c r="C36" s="162"/>
      <c r="D36" s="168" t="s">
        <v>6</v>
      </c>
      <c r="F36" s="103" t="s">
        <v>2</v>
      </c>
      <c r="G36" s="106"/>
      <c r="H36" s="98"/>
      <c r="I36" s="105" t="s">
        <v>6</v>
      </c>
      <c r="K36" s="135" t="s">
        <v>2</v>
      </c>
      <c r="L36" s="109"/>
      <c r="M36" s="129"/>
      <c r="N36" s="238" t="s">
        <v>6</v>
      </c>
    </row>
    <row r="37" spans="1:14" ht="15" customHeight="1" x14ac:dyDescent="0.2">
      <c r="A37" s="164" t="s">
        <v>3</v>
      </c>
      <c r="B37" s="169">
        <v>300000</v>
      </c>
      <c r="C37" s="162"/>
      <c r="D37" s="163"/>
      <c r="F37" s="101" t="s">
        <v>3</v>
      </c>
      <c r="G37" s="106">
        <v>300000</v>
      </c>
      <c r="H37" s="98"/>
      <c r="I37" s="99"/>
      <c r="K37" s="138" t="s">
        <v>3</v>
      </c>
      <c r="L37" s="109">
        <v>300000</v>
      </c>
      <c r="M37" s="129"/>
      <c r="N37" s="139"/>
    </row>
    <row r="38" spans="1:14" ht="15" customHeight="1" x14ac:dyDescent="0.2">
      <c r="A38" s="164" t="s">
        <v>264</v>
      </c>
      <c r="B38" s="169">
        <v>-13000</v>
      </c>
      <c r="C38" s="162"/>
      <c r="D38" s="163"/>
      <c r="F38" s="101" t="s">
        <v>264</v>
      </c>
      <c r="G38" s="106">
        <v>-13000</v>
      </c>
      <c r="H38" s="98"/>
      <c r="I38" s="99"/>
      <c r="K38" s="138" t="s">
        <v>264</v>
      </c>
      <c r="L38" s="109">
        <v>-13000</v>
      </c>
      <c r="M38" s="129"/>
      <c r="N38" s="236"/>
    </row>
    <row r="39" spans="1:14" ht="25.5" customHeight="1" x14ac:dyDescent="0.2">
      <c r="A39" s="164" t="s">
        <v>115</v>
      </c>
      <c r="B39" s="169">
        <v>-89000</v>
      </c>
      <c r="C39" s="162"/>
      <c r="D39" s="178" t="s">
        <v>568</v>
      </c>
      <c r="F39" s="101" t="s">
        <v>359</v>
      </c>
      <c r="G39" s="106">
        <v>-79000</v>
      </c>
      <c r="H39" s="98"/>
      <c r="I39" s="119"/>
      <c r="K39" s="138" t="s">
        <v>359</v>
      </c>
      <c r="L39" s="109">
        <v>-99000</v>
      </c>
      <c r="M39" s="129"/>
      <c r="N39" s="140" t="s">
        <v>589</v>
      </c>
    </row>
    <row r="40" spans="1:14" ht="25.5" customHeight="1" x14ac:dyDescent="0.2">
      <c r="A40" s="164" t="s">
        <v>428</v>
      </c>
      <c r="B40" s="169"/>
      <c r="C40" s="162"/>
      <c r="D40" s="178" t="s">
        <v>531</v>
      </c>
      <c r="F40" s="101" t="s">
        <v>428</v>
      </c>
      <c r="G40" s="106">
        <v>0</v>
      </c>
      <c r="H40" s="98"/>
      <c r="I40" s="119" t="s">
        <v>515</v>
      </c>
      <c r="K40" s="138" t="s">
        <v>428</v>
      </c>
      <c r="L40" s="109">
        <v>0</v>
      </c>
      <c r="M40" s="129"/>
      <c r="N40" s="140" t="s">
        <v>519</v>
      </c>
    </row>
    <row r="41" spans="1:14" ht="21.75" customHeight="1" x14ac:dyDescent="0.2">
      <c r="A41" s="164" t="s">
        <v>53</v>
      </c>
      <c r="B41" s="177">
        <v>0</v>
      </c>
      <c r="C41" s="162"/>
      <c r="D41" s="171" t="s">
        <v>406</v>
      </c>
      <c r="F41" s="101" t="s">
        <v>53</v>
      </c>
      <c r="G41" s="110">
        <v>0</v>
      </c>
      <c r="H41" s="98"/>
      <c r="I41" s="112"/>
      <c r="K41" s="138" t="s">
        <v>53</v>
      </c>
      <c r="L41" s="111">
        <v>0</v>
      </c>
      <c r="M41" s="129"/>
      <c r="N41" s="139"/>
    </row>
    <row r="42" spans="1:14" ht="15" customHeight="1" x14ac:dyDescent="0.2">
      <c r="A42" s="372" t="s">
        <v>45</v>
      </c>
      <c r="B42" s="392">
        <f>SUM(B37:B41)</f>
        <v>198000</v>
      </c>
      <c r="C42" s="162"/>
      <c r="D42" s="171"/>
      <c r="F42" s="393" t="s">
        <v>45</v>
      </c>
      <c r="G42" s="394">
        <f>G37+G39+G41+G38+G40</f>
        <v>208000</v>
      </c>
      <c r="H42" s="98"/>
      <c r="I42" s="112"/>
      <c r="K42" s="395" t="s">
        <v>45</v>
      </c>
      <c r="L42" s="334">
        <f>L37+L39+L41+L38+L40</f>
        <v>188000</v>
      </c>
      <c r="M42" s="129"/>
      <c r="N42" s="139"/>
    </row>
    <row r="43" spans="1:14" ht="15" customHeight="1" x14ac:dyDescent="0.2">
      <c r="A43" s="164" t="s">
        <v>104</v>
      </c>
      <c r="B43" s="169">
        <v>-13000</v>
      </c>
      <c r="C43" s="162"/>
      <c r="D43" s="178" t="s">
        <v>172</v>
      </c>
      <c r="F43" s="101" t="s">
        <v>265</v>
      </c>
      <c r="G43" s="106">
        <v>0</v>
      </c>
      <c r="H43" s="98"/>
      <c r="I43" s="112" t="s">
        <v>172</v>
      </c>
      <c r="K43" s="138" t="s">
        <v>265</v>
      </c>
      <c r="L43" s="109">
        <v>0</v>
      </c>
      <c r="M43" s="129"/>
      <c r="N43" s="140"/>
    </row>
    <row r="44" spans="1:14" ht="15" customHeight="1" x14ac:dyDescent="0.2">
      <c r="A44" s="164" t="s">
        <v>110</v>
      </c>
      <c r="B44" s="169">
        <v>0</v>
      </c>
      <c r="C44" s="162"/>
      <c r="D44" s="180" t="s">
        <v>252</v>
      </c>
      <c r="F44" s="101" t="s">
        <v>44</v>
      </c>
      <c r="G44" s="106">
        <v>0</v>
      </c>
      <c r="H44" s="98"/>
      <c r="I44" s="112" t="s">
        <v>252</v>
      </c>
      <c r="K44" s="138" t="s">
        <v>44</v>
      </c>
      <c r="L44" s="109">
        <v>0</v>
      </c>
      <c r="M44" s="129"/>
      <c r="N44" s="139" t="s">
        <v>252</v>
      </c>
    </row>
    <row r="45" spans="1:14" ht="15" customHeight="1" x14ac:dyDescent="0.2">
      <c r="A45" s="352" t="s">
        <v>275</v>
      </c>
      <c r="B45" s="353">
        <f>B42+B50+B51+B53</f>
        <v>277823</v>
      </c>
      <c r="C45" s="179"/>
      <c r="D45" s="178" t="s">
        <v>567</v>
      </c>
      <c r="F45" s="113" t="s">
        <v>46</v>
      </c>
      <c r="G45" s="114">
        <f>G42+G50+G51</f>
        <v>208000</v>
      </c>
      <c r="H45" s="120"/>
      <c r="I45" s="119" t="s">
        <v>571</v>
      </c>
      <c r="K45" s="141" t="s">
        <v>46</v>
      </c>
      <c r="L45" s="111">
        <f>L42+L50+L51+L53</f>
        <v>277823</v>
      </c>
      <c r="M45" s="134"/>
      <c r="N45" s="335" t="s">
        <v>567</v>
      </c>
    </row>
    <row r="46" spans="1:14" ht="15" customHeight="1" x14ac:dyDescent="0.2">
      <c r="A46" s="431" t="s">
        <v>455</v>
      </c>
      <c r="B46" s="169">
        <v>0</v>
      </c>
      <c r="C46" s="179"/>
      <c r="D46" s="180"/>
      <c r="F46" s="101" t="s">
        <v>17</v>
      </c>
      <c r="G46" s="106">
        <v>0</v>
      </c>
      <c r="H46" s="120"/>
      <c r="I46" s="108"/>
      <c r="K46" s="138" t="s">
        <v>17</v>
      </c>
      <c r="L46" s="109">
        <v>0</v>
      </c>
      <c r="M46" s="134"/>
      <c r="N46" s="245"/>
    </row>
    <row r="47" spans="1:14" ht="15" customHeight="1" x14ac:dyDescent="0.2">
      <c r="A47" s="431" t="s">
        <v>456</v>
      </c>
      <c r="B47" s="169">
        <v>0</v>
      </c>
      <c r="C47" s="179"/>
      <c r="D47" s="163"/>
      <c r="F47" s="101" t="s">
        <v>18</v>
      </c>
      <c r="G47" s="106">
        <v>0</v>
      </c>
      <c r="H47" s="120"/>
      <c r="I47" s="99"/>
      <c r="K47" s="138" t="s">
        <v>18</v>
      </c>
      <c r="L47" s="109">
        <v>0</v>
      </c>
      <c r="M47" s="134"/>
      <c r="N47" s="236"/>
    </row>
    <row r="48" spans="1:14" ht="15" customHeight="1" x14ac:dyDescent="0.2">
      <c r="A48" s="431" t="s">
        <v>457</v>
      </c>
      <c r="B48" s="169">
        <v>0</v>
      </c>
      <c r="C48" s="162"/>
      <c r="D48" s="178"/>
      <c r="F48" s="121" t="s">
        <v>47</v>
      </c>
      <c r="G48" s="106">
        <v>0</v>
      </c>
      <c r="H48" s="98"/>
      <c r="I48" s="119"/>
      <c r="K48" s="133" t="s">
        <v>47</v>
      </c>
      <c r="L48" s="109">
        <v>0</v>
      </c>
      <c r="M48" s="129"/>
      <c r="N48" s="244"/>
    </row>
    <row r="49" spans="1:14" ht="11.4" x14ac:dyDescent="0.2">
      <c r="A49" s="431" t="s">
        <v>357</v>
      </c>
      <c r="B49" s="169">
        <v>35000</v>
      </c>
      <c r="C49" s="179"/>
      <c r="D49" s="163"/>
      <c r="F49" s="101" t="s">
        <v>54</v>
      </c>
      <c r="G49" s="106">
        <v>35000</v>
      </c>
      <c r="H49" s="120"/>
      <c r="I49" s="99" t="s">
        <v>417</v>
      </c>
      <c r="K49" s="138" t="s">
        <v>382</v>
      </c>
      <c r="L49" s="109">
        <v>35000</v>
      </c>
      <c r="M49" s="134"/>
      <c r="N49" s="236" t="s">
        <v>517</v>
      </c>
    </row>
    <row r="50" spans="1:14" ht="15" customHeight="1" x14ac:dyDescent="0.2">
      <c r="A50" s="164" t="s">
        <v>354</v>
      </c>
      <c r="B50" s="169">
        <v>0</v>
      </c>
      <c r="C50" s="179"/>
      <c r="D50" s="163"/>
      <c r="F50" s="101" t="s">
        <v>354</v>
      </c>
      <c r="G50" s="106">
        <v>0</v>
      </c>
      <c r="H50" s="120"/>
      <c r="I50" s="99"/>
      <c r="K50" s="138" t="s">
        <v>354</v>
      </c>
      <c r="L50" s="109">
        <v>0</v>
      </c>
      <c r="M50" s="134"/>
      <c r="N50" s="236" t="s">
        <v>412</v>
      </c>
    </row>
    <row r="51" spans="1:14" ht="15" customHeight="1" x14ac:dyDescent="0.2">
      <c r="A51" s="164" t="s">
        <v>274</v>
      </c>
      <c r="B51" s="169">
        <v>0</v>
      </c>
      <c r="C51" s="179"/>
      <c r="D51" s="163"/>
      <c r="F51" s="101" t="s">
        <v>274</v>
      </c>
      <c r="G51" s="106">
        <v>0</v>
      </c>
      <c r="H51" s="120"/>
      <c r="I51" s="99"/>
      <c r="K51" s="138" t="s">
        <v>274</v>
      </c>
      <c r="L51" s="109">
        <v>0</v>
      </c>
      <c r="M51" s="134"/>
      <c r="N51" s="236" t="s">
        <v>410</v>
      </c>
    </row>
    <row r="52" spans="1:14" ht="15" customHeight="1" x14ac:dyDescent="0.2">
      <c r="A52" s="164" t="s">
        <v>345</v>
      </c>
      <c r="B52" s="169">
        <v>8000</v>
      </c>
      <c r="C52" s="179"/>
      <c r="D52" s="163"/>
      <c r="F52" s="101" t="s">
        <v>345</v>
      </c>
      <c r="G52" s="106">
        <v>0</v>
      </c>
      <c r="H52" s="120"/>
      <c r="I52" s="99"/>
      <c r="K52" s="138" t="s">
        <v>345</v>
      </c>
      <c r="L52" s="109">
        <v>8000</v>
      </c>
      <c r="M52" s="134"/>
      <c r="N52" s="236" t="s">
        <v>590</v>
      </c>
    </row>
    <row r="53" spans="1:14" ht="15" customHeight="1" x14ac:dyDescent="0.2">
      <c r="A53" s="164" t="s">
        <v>411</v>
      </c>
      <c r="B53" s="169">
        <v>79823</v>
      </c>
      <c r="C53" s="179"/>
      <c r="D53" s="163"/>
      <c r="F53" s="101"/>
      <c r="G53" s="106"/>
      <c r="H53" s="120"/>
      <c r="I53" s="99"/>
      <c r="K53" s="138" t="s">
        <v>411</v>
      </c>
      <c r="L53" s="109">
        <v>89823</v>
      </c>
      <c r="M53" s="134"/>
      <c r="N53" s="236"/>
    </row>
    <row r="54" spans="1:14" ht="12.6" thickBot="1" x14ac:dyDescent="0.25">
      <c r="A54" s="203" t="s">
        <v>49</v>
      </c>
      <c r="B54" s="183">
        <f>SUM(B15,B32,B45)</f>
        <v>6936132</v>
      </c>
      <c r="C54" s="184"/>
      <c r="D54" s="185"/>
      <c r="F54" s="122" t="s">
        <v>49</v>
      </c>
      <c r="G54" s="123">
        <f>SUM(G15,G32,G45)</f>
        <v>7123665</v>
      </c>
      <c r="H54" s="194"/>
      <c r="I54" s="150"/>
      <c r="K54" s="142" t="s">
        <v>49</v>
      </c>
      <c r="L54" s="143">
        <f>SUM(L15,L32,L45)</f>
        <v>6936132</v>
      </c>
      <c r="M54" s="195"/>
      <c r="N54" s="246"/>
    </row>
    <row r="55" spans="1:14" ht="27.75" customHeight="1" x14ac:dyDescent="0.2">
      <c r="A55" s="205" t="s">
        <v>134</v>
      </c>
      <c r="B55" s="204">
        <f>1500000-50000-30000</f>
        <v>1420000</v>
      </c>
      <c r="C55" s="205"/>
      <c r="D55" s="232" t="s">
        <v>537</v>
      </c>
      <c r="F55" s="207" t="s">
        <v>134</v>
      </c>
      <c r="G55" s="208">
        <f>1500000-50000-30000</f>
        <v>1420000</v>
      </c>
      <c r="H55" s="209"/>
      <c r="I55" s="233" t="s">
        <v>522</v>
      </c>
      <c r="K55" s="210" t="s">
        <v>134</v>
      </c>
      <c r="L55" s="211">
        <f>1500000-80000</f>
        <v>1420000</v>
      </c>
      <c r="M55" s="212"/>
      <c r="N55" s="234" t="s">
        <v>522</v>
      </c>
    </row>
    <row r="56" spans="1:14" ht="15" customHeight="1" thickBot="1" x14ac:dyDescent="0.25">
      <c r="A56" s="203" t="s">
        <v>135</v>
      </c>
      <c r="B56" s="183">
        <f>B54+B55</f>
        <v>8356132</v>
      </c>
      <c r="C56" s="184"/>
      <c r="D56" s="185"/>
      <c r="F56" s="206" t="s">
        <v>135</v>
      </c>
      <c r="G56" s="123">
        <f>G54+G55</f>
        <v>8543665</v>
      </c>
      <c r="H56" s="124"/>
      <c r="I56" s="150"/>
      <c r="K56" s="213" t="s">
        <v>135</v>
      </c>
      <c r="L56" s="143">
        <f>L54+L55</f>
        <v>8356132</v>
      </c>
      <c r="M56" s="144"/>
      <c r="N56" s="246"/>
    </row>
    <row r="57" spans="1:14" ht="15" customHeight="1" x14ac:dyDescent="0.2">
      <c r="B57" s="117"/>
      <c r="D57" s="117"/>
    </row>
    <row r="58" spans="1:14" ht="15" customHeight="1" x14ac:dyDescent="0.2">
      <c r="D58" s="126"/>
    </row>
    <row r="62" spans="1:14" ht="15" customHeight="1" x14ac:dyDescent="0.2">
      <c r="B62" s="95">
        <f>17+35</f>
        <v>52</v>
      </c>
    </row>
    <row r="63" spans="1:14" ht="15" customHeight="1" x14ac:dyDescent="0.2">
      <c r="M63" s="117"/>
      <c r="N63" s="248"/>
    </row>
    <row r="64" spans="1:14" ht="15" customHeight="1" x14ac:dyDescent="0.2">
      <c r="M64" s="117"/>
    </row>
    <row r="65" spans="13:13" ht="15" customHeight="1" x14ac:dyDescent="0.2">
      <c r="M65" s="202"/>
    </row>
    <row r="66" spans="13:13" ht="15" customHeight="1" x14ac:dyDescent="0.2">
      <c r="M66" s="20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4E49-7DBF-4696-80C5-C52BE45D7C8D}">
  <sheetPr codeName="Sheet14">
    <pageSetUpPr fitToPage="1"/>
  </sheetPr>
  <dimension ref="A1:AM41"/>
  <sheetViews>
    <sheetView topLeftCell="A7" zoomScale="90" zoomScaleNormal="90" workbookViewId="0">
      <selection activeCell="G28" sqref="G28"/>
    </sheetView>
  </sheetViews>
  <sheetFormatPr defaultRowHeight="14.4" x14ac:dyDescent="0.3"/>
  <cols>
    <col min="1" max="1" width="6" customWidth="1"/>
    <col min="2" max="2" width="27" customWidth="1"/>
    <col min="3" max="3" width="20.5546875" hidden="1" customWidth="1"/>
    <col min="4" max="9" width="20.5546875" customWidth="1"/>
    <col min="10" max="11" width="20.5546875" hidden="1" customWidth="1"/>
    <col min="12" max="16" width="20.5546875" customWidth="1"/>
    <col min="17" max="17" width="7.5546875" customWidth="1"/>
    <col min="18" max="18" width="27.33203125" customWidth="1"/>
    <col min="19" max="21" width="11.5546875" customWidth="1"/>
    <col min="22" max="22" width="20.5546875" customWidth="1"/>
    <col min="23" max="23" width="9.5546875" customWidth="1"/>
    <col min="25" max="25" width="7.5546875" customWidth="1"/>
    <col min="26" max="26" width="16.5546875" bestFit="1" customWidth="1"/>
    <col min="27" max="29" width="11.5546875" customWidth="1"/>
    <col min="30" max="30" width="20.5546875" customWidth="1"/>
    <col min="31" max="31" width="9.5546875" customWidth="1"/>
    <col min="33" max="33" width="7.5546875" customWidth="1"/>
    <col min="34" max="34" width="22.44140625" customWidth="1"/>
    <col min="35" max="37" width="11.5546875" customWidth="1"/>
    <col min="38" max="38" width="20.5546875" customWidth="1"/>
    <col min="39" max="39" width="9.5546875" customWidth="1"/>
  </cols>
  <sheetData>
    <row r="1" spans="1:39" x14ac:dyDescent="0.3">
      <c r="S1" s="415" t="s">
        <v>339</v>
      </c>
      <c r="T1" s="415" t="s">
        <v>340</v>
      </c>
      <c r="U1" s="383" t="s">
        <v>341</v>
      </c>
      <c r="V1" s="383" t="s">
        <v>415</v>
      </c>
      <c r="W1" s="383" t="s">
        <v>510</v>
      </c>
      <c r="AA1" s="415" t="s">
        <v>339</v>
      </c>
      <c r="AB1" s="415" t="s">
        <v>340</v>
      </c>
      <c r="AC1" s="383" t="s">
        <v>341</v>
      </c>
      <c r="AD1" s="383" t="s">
        <v>415</v>
      </c>
      <c r="AE1" s="383" t="s">
        <v>510</v>
      </c>
      <c r="AI1" s="415" t="s">
        <v>339</v>
      </c>
      <c r="AJ1" s="415" t="s">
        <v>340</v>
      </c>
      <c r="AK1" s="383" t="s">
        <v>341</v>
      </c>
      <c r="AL1" s="383" t="s">
        <v>415</v>
      </c>
      <c r="AM1" s="383" t="s">
        <v>510</v>
      </c>
    </row>
    <row r="2" spans="1:39" x14ac:dyDescent="0.3">
      <c r="B2" t="s">
        <v>512</v>
      </c>
      <c r="N2" s="380">
        <v>45077</v>
      </c>
      <c r="S2" s="415">
        <f>SUM(_xlfn.CHOOSECOLS(_xlfn.ANCHORARRAY(Q5),3))</f>
        <v>141400</v>
      </c>
      <c r="T2" s="415">
        <f>SUM(_xlfn.CHOOSECOLS(_xlfn.ANCHORARRAY(Q5),4))</f>
        <v>123400</v>
      </c>
      <c r="U2" s="383">
        <f>SUM(_xlfn.CHOOSECOLS(_xlfn.ANCHORARRAY(Q5),5))</f>
        <v>125503</v>
      </c>
      <c r="V2" s="383">
        <f>SUM(_xlfn.CHOOSECOLS(_xlfn.ANCHORARRAY(Q5),6))</f>
        <v>98800</v>
      </c>
      <c r="W2" s="383">
        <f>SUM(_xlfn.CHOOSECOLS(_xlfn.ANCHORARRAY(Q5),7))</f>
        <v>7224</v>
      </c>
      <c r="AA2" s="415">
        <f>SUM(_xlfn.CHOOSECOLS(_xlfn.ANCHORARRAY(Y5),3))</f>
        <v>178089</v>
      </c>
      <c r="AB2" s="415">
        <f>SUM(_xlfn.CHOOSECOLS(_xlfn.ANCHORARRAY(Y5),4))</f>
        <v>228190.5</v>
      </c>
      <c r="AC2" s="383">
        <f>SUM(_xlfn.CHOOSECOLS(_xlfn.ANCHORARRAY(Y5),5))</f>
        <v>234941.5</v>
      </c>
      <c r="AD2" s="383">
        <f>SUM(_xlfn.CHOOSECOLS(_xlfn.ANCHORARRAY(Y5),6))</f>
        <v>209513</v>
      </c>
      <c r="AE2" s="383">
        <f>SUM(_xlfn.CHOOSECOLS(_xlfn.ANCHORARRAY(Y5),7))</f>
        <v>67581</v>
      </c>
      <c r="AI2" s="415">
        <f>SUM(_xlfn.CHOOSECOLS(_xlfn.ANCHORARRAY(AG5),3))</f>
        <v>225618</v>
      </c>
      <c r="AJ2" s="415">
        <f>SUM(_xlfn.CHOOSECOLS(_xlfn.ANCHORARRAY(AG5),4))</f>
        <v>456096</v>
      </c>
      <c r="AK2" s="383">
        <f>SUM(_xlfn.CHOOSECOLS(_xlfn.ANCHORARRAY(AG5),5))</f>
        <v>428196</v>
      </c>
      <c r="AL2">
        <f>SUM(_xlfn.CHOOSECOLS(_xlfn.ANCHORARRAY(AG5),6))</f>
        <v>377609</v>
      </c>
      <c r="AM2">
        <f>SUM(_xlfn.CHOOSECOLS(_xlfn.ANCHORARRAY(AG5),7))</f>
        <v>0</v>
      </c>
    </row>
    <row r="3" spans="1:39" x14ac:dyDescent="0.3">
      <c r="S3" s="4"/>
      <c r="T3" s="4"/>
      <c r="AA3" s="4"/>
      <c r="AB3" s="4"/>
      <c r="AI3" s="4"/>
      <c r="AJ3" s="4"/>
    </row>
    <row r="4" spans="1:39" x14ac:dyDescent="0.3">
      <c r="A4" t="s">
        <v>332</v>
      </c>
      <c r="B4" s="267" t="s">
        <v>331</v>
      </c>
      <c r="C4" s="267" t="s">
        <v>330</v>
      </c>
      <c r="D4" s="267" t="s">
        <v>329</v>
      </c>
      <c r="E4" s="267" t="s">
        <v>328</v>
      </c>
      <c r="F4" s="267" t="s">
        <v>327</v>
      </c>
      <c r="G4" s="267" t="s">
        <v>414</v>
      </c>
      <c r="H4" s="267" t="s">
        <v>509</v>
      </c>
      <c r="I4" s="267" t="s">
        <v>279</v>
      </c>
      <c r="J4" s="267" t="s">
        <v>278</v>
      </c>
      <c r="K4" s="267" t="s">
        <v>277</v>
      </c>
      <c r="L4" s="267" t="s">
        <v>276</v>
      </c>
      <c r="M4" s="267" t="s">
        <v>200</v>
      </c>
      <c r="N4" s="267" t="s">
        <v>338</v>
      </c>
      <c r="O4" s="267" t="s">
        <v>439</v>
      </c>
      <c r="Q4" s="384" t="str" cm="1">
        <f t="array" ref="Q4:W4">_xlfn.CHOOSECOLS(Table1[#Headers],1,2,4,5,6,7,8)</f>
        <v>No.</v>
      </c>
      <c r="R4" s="384" t="str">
        <v>Contractor</v>
      </c>
      <c r="S4" s="416" t="str">
        <v>CY 2023</v>
      </c>
      <c r="T4" s="416" t="str">
        <v>CY 2024</v>
      </c>
      <c r="U4" s="384" t="str">
        <v>CY 2025</v>
      </c>
      <c r="V4" s="384" t="str">
        <v>CY 2026</v>
      </c>
      <c r="W4" s="384" t="str">
        <v>CY 2027</v>
      </c>
      <c r="Y4" s="384" t="str" cm="1">
        <f t="array" ref="Y4:AE4">_xlfn.CHOOSECOLS(Table1[#Headers],1,2,4,5,6,7,8)</f>
        <v>No.</v>
      </c>
      <c r="Z4" t="str">
        <v>Contractor</v>
      </c>
      <c r="AA4" s="4" t="str">
        <v>CY 2023</v>
      </c>
      <c r="AB4" s="4" t="str">
        <v>CY 2024</v>
      </c>
      <c r="AC4" t="str">
        <v>CY 2025</v>
      </c>
      <c r="AD4" t="str">
        <v>CY 2026</v>
      </c>
      <c r="AE4" t="str">
        <v>CY 2027</v>
      </c>
      <c r="AG4" s="384" t="str" cm="1">
        <f t="array" ref="AG4:AM4">_xlfn.CHOOSECOLS(Table1[#Headers],1,2,4,5,6,7,8)</f>
        <v>No.</v>
      </c>
      <c r="AH4" t="str">
        <v>Contractor</v>
      </c>
      <c r="AI4" s="4" t="str">
        <v>CY 2023</v>
      </c>
      <c r="AJ4" s="4" t="str">
        <v>CY 2024</v>
      </c>
      <c r="AK4" t="str">
        <v>CY 2025</v>
      </c>
      <c r="AL4" t="str">
        <v>CY 2026</v>
      </c>
      <c r="AM4" t="str">
        <v>CY 2027</v>
      </c>
    </row>
    <row r="5" spans="1:39" x14ac:dyDescent="0.3">
      <c r="A5" s="378">
        <v>1</v>
      </c>
      <c r="B5" s="378" t="s">
        <v>326</v>
      </c>
      <c r="C5" s="378" t="s">
        <v>325</v>
      </c>
      <c r="D5" s="377">
        <v>14000</v>
      </c>
      <c r="E5" s="377">
        <v>21000</v>
      </c>
      <c r="F5" s="377">
        <v>21000</v>
      </c>
      <c r="G5" s="377">
        <v>21000</v>
      </c>
      <c r="H5" s="377"/>
      <c r="I5" s="377">
        <f>SUM(Table1[[#This Row],[CY 2023]:[CY 2026]])</f>
        <v>77000</v>
      </c>
      <c r="J5" s="376">
        <v>400</v>
      </c>
      <c r="K5" s="376">
        <f t="shared" ref="K5:K12" si="0">I5*J5</f>
        <v>30800000</v>
      </c>
      <c r="L5" s="379" t="s">
        <v>346</v>
      </c>
      <c r="M5" s="381" t="s">
        <v>333</v>
      </c>
      <c r="N5" t="s">
        <v>337</v>
      </c>
      <c r="O5" t="s">
        <v>337</v>
      </c>
      <c r="Q5" s="384" cm="1">
        <f t="array" ref="Q5:W13">_xlfn.CHOOSECOLS(_xlfn._xlws.FILTER(Table1[], (Table1[Modeled]="Yes")*(Table1[State] = "AZ-CAWCD")),1,2,4,5,6,7,8)</f>
        <v>1</v>
      </c>
      <c r="R5" s="384" t="str">
        <v>ASARCO</v>
      </c>
      <c r="S5" s="417">
        <v>14000</v>
      </c>
      <c r="T5" s="417">
        <v>21000</v>
      </c>
      <c r="U5" s="385">
        <v>21000</v>
      </c>
      <c r="V5" s="384">
        <v>21000</v>
      </c>
      <c r="W5" s="384">
        <v>0</v>
      </c>
      <c r="Y5" s="384" cm="1">
        <f t="array" ref="Y5:AE14">_xlfn.CHOOSECOLS(_xlfn._xlws.FILTER(Table1[], (Table1[Modeled]="Yes")*(Table1[State] &lt;&gt; "AZ-CAWCD")*(Table1[State] &lt;&gt; "CA")*(Table1[State] &lt;&gt; "CA-Tribe")),1,2,4,5,6,7,8)</f>
        <v>9</v>
      </c>
      <c r="Z5" s="384" t="str">
        <v>FMYN</v>
      </c>
      <c r="AA5" s="416">
        <v>13933</v>
      </c>
      <c r="AB5" s="416">
        <v>13933</v>
      </c>
      <c r="AC5" s="384">
        <v>13933</v>
      </c>
      <c r="AD5" s="384">
        <v>13933</v>
      </c>
      <c r="AE5" s="384">
        <v>0</v>
      </c>
      <c r="AG5" s="383" cm="1">
        <f t="array" ref="AG5:AM11">_xlfn.CHOOSECOLS(_xlfn._xlws.FILTER(Table1[], (Table1[Modeled]="Yes")*(Table1[State] = "CA")),1,2,4,5,6,7,8)</f>
        <v>14</v>
      </c>
      <c r="AH5" s="383" t="str">
        <v>CVWD Grd Wtr Replnt</v>
      </c>
      <c r="AI5" s="415">
        <v>35000</v>
      </c>
      <c r="AJ5" s="415">
        <v>35000</v>
      </c>
      <c r="AK5" s="383">
        <v>35000</v>
      </c>
      <c r="AL5" s="383">
        <v>35000</v>
      </c>
      <c r="AM5" s="383">
        <v>0</v>
      </c>
    </row>
    <row r="6" spans="1:39" x14ac:dyDescent="0.3">
      <c r="A6" s="378">
        <v>2</v>
      </c>
      <c r="B6" s="378" t="s">
        <v>324</v>
      </c>
      <c r="C6" s="378" t="s">
        <v>323</v>
      </c>
      <c r="D6" s="377">
        <v>1200</v>
      </c>
      <c r="E6" s="377">
        <v>800</v>
      </c>
      <c r="F6" s="377">
        <v>800</v>
      </c>
      <c r="G6" s="377">
        <v>1600</v>
      </c>
      <c r="H6" s="377">
        <v>767</v>
      </c>
      <c r="I6" s="377">
        <f>SUM(Table1[[#This Row],[CY 2023]:[CY 2026]])</f>
        <v>4400</v>
      </c>
      <c r="J6" s="376">
        <v>400</v>
      </c>
      <c r="K6" s="376">
        <f t="shared" si="0"/>
        <v>1760000</v>
      </c>
      <c r="L6" s="379" t="s">
        <v>347</v>
      </c>
      <c r="M6" s="381" t="s">
        <v>333</v>
      </c>
      <c r="N6" t="s">
        <v>337</v>
      </c>
      <c r="O6" t="s">
        <v>337</v>
      </c>
      <c r="Q6" s="384">
        <v>2</v>
      </c>
      <c r="R6" s="384" t="str">
        <v>Gilbert</v>
      </c>
      <c r="S6" s="417">
        <v>1200</v>
      </c>
      <c r="T6" s="417">
        <v>800</v>
      </c>
      <c r="U6" s="385">
        <v>800</v>
      </c>
      <c r="V6" s="384">
        <v>1600</v>
      </c>
      <c r="W6" s="384">
        <v>767</v>
      </c>
      <c r="Y6" s="384">
        <v>10</v>
      </c>
      <c r="Z6" s="384" t="str">
        <v>GRIC</v>
      </c>
      <c r="AA6" s="416">
        <v>91319</v>
      </c>
      <c r="AB6" s="416">
        <v>125000</v>
      </c>
      <c r="AC6" s="384">
        <v>119561</v>
      </c>
      <c r="AD6" s="384">
        <v>75363</v>
      </c>
      <c r="AE6" s="384">
        <v>67581</v>
      </c>
      <c r="AG6" s="383">
        <v>18</v>
      </c>
      <c r="AH6" s="383" t="str">
        <v>IID 2023-2026</v>
      </c>
      <c r="AI6" s="415">
        <v>106111</v>
      </c>
      <c r="AJ6" s="415">
        <v>257640</v>
      </c>
      <c r="AK6" s="383">
        <v>250000</v>
      </c>
      <c r="AL6" s="383">
        <v>192360</v>
      </c>
      <c r="AM6" s="383">
        <v>0</v>
      </c>
    </row>
    <row r="7" spans="1:39" x14ac:dyDescent="0.3">
      <c r="A7" s="378">
        <v>3</v>
      </c>
      <c r="B7" s="378" t="s">
        <v>322</v>
      </c>
      <c r="C7" s="378" t="s">
        <v>321</v>
      </c>
      <c r="D7" s="377">
        <v>7000</v>
      </c>
      <c r="E7" s="377">
        <v>1000</v>
      </c>
      <c r="F7" s="377">
        <f>7000-2897</f>
        <v>4103</v>
      </c>
      <c r="G7" s="377">
        <v>7000</v>
      </c>
      <c r="H7" s="377"/>
      <c r="I7" s="377">
        <f>SUM(Table1[[#This Row],[CY 2023]:[CY 2026]])</f>
        <v>19103</v>
      </c>
      <c r="J7" s="376">
        <v>400</v>
      </c>
      <c r="K7" s="376">
        <f t="shared" si="0"/>
        <v>7641200</v>
      </c>
      <c r="L7" s="379" t="s">
        <v>352</v>
      </c>
      <c r="M7" s="381" t="s">
        <v>333</v>
      </c>
      <c r="N7" t="s">
        <v>337</v>
      </c>
      <c r="O7" t="s">
        <v>337</v>
      </c>
      <c r="Q7" s="384">
        <v>3</v>
      </c>
      <c r="R7" s="384" t="str">
        <v>Glendale</v>
      </c>
      <c r="S7" s="417">
        <v>7000</v>
      </c>
      <c r="T7" s="417">
        <v>1000</v>
      </c>
      <c r="U7" s="385">
        <v>4103</v>
      </c>
      <c r="V7" s="384">
        <v>7000</v>
      </c>
      <c r="W7" s="384">
        <v>0</v>
      </c>
      <c r="Y7" s="384">
        <v>11</v>
      </c>
      <c r="Z7" s="384" t="str">
        <v>SCAT</v>
      </c>
      <c r="AA7" s="416">
        <v>23804</v>
      </c>
      <c r="AB7" s="416">
        <v>23451</v>
      </c>
      <c r="AC7" s="384">
        <v>23451</v>
      </c>
      <c r="AD7" s="384">
        <v>23451</v>
      </c>
      <c r="AE7" s="384">
        <v>0</v>
      </c>
      <c r="AG7" s="383">
        <v>20</v>
      </c>
      <c r="AH7" s="383" t="str">
        <v>Bard</v>
      </c>
      <c r="AI7" s="415">
        <v>0</v>
      </c>
      <c r="AJ7" s="415">
        <v>5700</v>
      </c>
      <c r="AK7" s="383">
        <v>9286</v>
      </c>
      <c r="AL7" s="383">
        <v>11400</v>
      </c>
      <c r="AM7" s="383">
        <v>0</v>
      </c>
    </row>
    <row r="8" spans="1:39" x14ac:dyDescent="0.3">
      <c r="A8" s="378">
        <v>4</v>
      </c>
      <c r="B8" s="378" t="s">
        <v>320</v>
      </c>
      <c r="C8" s="378" t="s">
        <v>319</v>
      </c>
      <c r="D8" s="377">
        <v>5000</v>
      </c>
      <c r="E8" s="377">
        <v>5000</v>
      </c>
      <c r="F8" s="377">
        <v>5000</v>
      </c>
      <c r="G8" s="377">
        <v>5000</v>
      </c>
      <c r="H8" s="377"/>
      <c r="I8" s="377">
        <f>SUM(Table1[[#This Row],[CY 2023]:[CY 2026]])</f>
        <v>20000</v>
      </c>
      <c r="J8" s="376">
        <v>400</v>
      </c>
      <c r="K8" s="376">
        <f t="shared" si="0"/>
        <v>8000000</v>
      </c>
      <c r="L8" s="379" t="s">
        <v>309</v>
      </c>
      <c r="M8" s="381" t="s">
        <v>333</v>
      </c>
      <c r="N8" t="s">
        <v>337</v>
      </c>
      <c r="O8" t="s">
        <v>337</v>
      </c>
      <c r="Q8" s="384">
        <v>4</v>
      </c>
      <c r="R8" s="384" t="str">
        <v xml:space="preserve">Metro Water Dist </v>
      </c>
      <c r="S8" s="417">
        <v>5000</v>
      </c>
      <c r="T8" s="417">
        <v>5000</v>
      </c>
      <c r="U8" s="385">
        <v>5000</v>
      </c>
      <c r="V8" s="384">
        <v>5000</v>
      </c>
      <c r="W8" s="384">
        <v>0</v>
      </c>
      <c r="Y8" s="384">
        <v>12</v>
      </c>
      <c r="Z8" s="384" t="str">
        <v>GM Gabrych/Matador</v>
      </c>
      <c r="AA8" s="416">
        <v>3240</v>
      </c>
      <c r="AB8" s="416">
        <v>3240</v>
      </c>
      <c r="AC8" s="384">
        <v>3240</v>
      </c>
      <c r="AD8" s="384">
        <v>3240</v>
      </c>
      <c r="AE8" s="384">
        <v>0</v>
      </c>
      <c r="AG8" s="383">
        <v>21</v>
      </c>
      <c r="AH8" s="383" t="str">
        <v>Quechan</v>
      </c>
      <c r="AI8" s="415">
        <v>13000</v>
      </c>
      <c r="AJ8" s="415">
        <v>13000</v>
      </c>
      <c r="AK8" s="383">
        <v>13000</v>
      </c>
      <c r="AL8" s="383">
        <v>13000</v>
      </c>
      <c r="AM8" s="383">
        <v>0</v>
      </c>
    </row>
    <row r="9" spans="1:39" x14ac:dyDescent="0.3">
      <c r="A9" s="378">
        <v>5</v>
      </c>
      <c r="B9" s="378" t="s">
        <v>318</v>
      </c>
      <c r="C9" s="378" t="s">
        <v>317</v>
      </c>
      <c r="D9" s="377">
        <v>7200</v>
      </c>
      <c r="E9" s="377">
        <v>7200</v>
      </c>
      <c r="F9" s="377">
        <v>7200</v>
      </c>
      <c r="G9" s="377">
        <v>5000</v>
      </c>
      <c r="H9" s="377"/>
      <c r="I9" s="377">
        <f>SUM(Table1[[#This Row],[CY 2023]:[CY 2026]])</f>
        <v>26600</v>
      </c>
      <c r="J9" s="376">
        <v>400</v>
      </c>
      <c r="K9" s="376">
        <f t="shared" si="0"/>
        <v>10640000</v>
      </c>
      <c r="L9" s="379" t="s">
        <v>316</v>
      </c>
      <c r="M9" s="381" t="s">
        <v>333</v>
      </c>
      <c r="N9" t="s">
        <v>337</v>
      </c>
      <c r="O9" t="s">
        <v>337</v>
      </c>
      <c r="P9" s="1"/>
      <c r="Q9" s="385">
        <v>5</v>
      </c>
      <c r="R9" s="384" t="str">
        <v>Peoria</v>
      </c>
      <c r="S9" s="417">
        <v>7200</v>
      </c>
      <c r="T9" s="417">
        <v>7200</v>
      </c>
      <c r="U9" s="385">
        <v>7200</v>
      </c>
      <c r="V9" s="384">
        <v>5000</v>
      </c>
      <c r="W9" s="384">
        <v>0</v>
      </c>
      <c r="Y9" s="384">
        <v>13</v>
      </c>
      <c r="Z9" s="384" t="str">
        <v>MVIDD</v>
      </c>
      <c r="AA9" s="416">
        <v>12812</v>
      </c>
      <c r="AB9" s="416">
        <v>13293</v>
      </c>
      <c r="AC9" s="384">
        <v>13694</v>
      </c>
      <c r="AD9" s="384">
        <v>14184</v>
      </c>
      <c r="AE9" s="384">
        <v>0</v>
      </c>
      <c r="AG9" s="383">
        <v>22</v>
      </c>
      <c r="AH9" s="383" t="str">
        <v>CVWD Fallowing</v>
      </c>
      <c r="AI9" s="415">
        <v>0</v>
      </c>
      <c r="AJ9" s="415">
        <v>725</v>
      </c>
      <c r="AK9" s="383">
        <v>3889</v>
      </c>
      <c r="AL9" s="383">
        <v>6511</v>
      </c>
      <c r="AM9" s="383">
        <v>0</v>
      </c>
    </row>
    <row r="10" spans="1:39" x14ac:dyDescent="0.3">
      <c r="A10" s="378">
        <v>6</v>
      </c>
      <c r="B10" s="378" t="s">
        <v>315</v>
      </c>
      <c r="C10" s="378" t="s">
        <v>314</v>
      </c>
      <c r="D10" s="377">
        <v>50000</v>
      </c>
      <c r="E10" s="377">
        <v>50000</v>
      </c>
      <c r="F10" s="377">
        <v>50000</v>
      </c>
      <c r="G10" s="377"/>
      <c r="H10" s="377"/>
      <c r="I10" s="377">
        <f>SUM(Table1[[#This Row],[CY 2023]:[CY 2026]])</f>
        <v>150000</v>
      </c>
      <c r="J10" s="376">
        <v>400</v>
      </c>
      <c r="K10" s="376">
        <f t="shared" si="0"/>
        <v>60000000</v>
      </c>
      <c r="L10" s="379" t="s">
        <v>348</v>
      </c>
      <c r="M10" s="381" t="s">
        <v>333</v>
      </c>
      <c r="N10" t="s">
        <v>337</v>
      </c>
      <c r="O10" t="s">
        <v>337</v>
      </c>
      <c r="Q10" s="384">
        <v>6</v>
      </c>
      <c r="R10" s="384" t="str">
        <v>Phoenix</v>
      </c>
      <c r="S10" s="417">
        <v>50000</v>
      </c>
      <c r="T10" s="417">
        <v>50000</v>
      </c>
      <c r="U10" s="385">
        <v>50000</v>
      </c>
      <c r="V10" s="384">
        <v>0</v>
      </c>
      <c r="W10" s="384">
        <v>0</v>
      </c>
      <c r="Y10" s="384">
        <v>15</v>
      </c>
      <c r="Z10" s="384" t="str">
        <v>Cathcart</v>
      </c>
      <c r="AA10" s="416">
        <v>57</v>
      </c>
      <c r="AB10" s="416">
        <v>60.5</v>
      </c>
      <c r="AC10" s="384">
        <v>60.5</v>
      </c>
      <c r="AD10" s="384">
        <v>61</v>
      </c>
      <c r="AE10" s="384">
        <v>0</v>
      </c>
      <c r="AG10" s="383">
        <v>25</v>
      </c>
      <c r="AH10" s="383" t="str">
        <v>PVID</v>
      </c>
      <c r="AI10" s="415">
        <v>71507</v>
      </c>
      <c r="AJ10" s="415">
        <v>117021</v>
      </c>
      <c r="AK10" s="383">
        <v>117021</v>
      </c>
      <c r="AL10" s="383">
        <v>119338</v>
      </c>
      <c r="AM10" s="383">
        <v>0</v>
      </c>
    </row>
    <row r="11" spans="1:39" x14ac:dyDescent="0.3">
      <c r="A11" s="378">
        <v>7</v>
      </c>
      <c r="B11" s="378" t="s">
        <v>313</v>
      </c>
      <c r="C11" s="378" t="s">
        <v>312</v>
      </c>
      <c r="D11" s="377">
        <v>7000</v>
      </c>
      <c r="E11" s="377">
        <v>6000</v>
      </c>
      <c r="F11" s="377">
        <v>5000</v>
      </c>
      <c r="G11" s="377">
        <v>4000</v>
      </c>
      <c r="H11" s="377">
        <v>2800</v>
      </c>
      <c r="I11" s="377">
        <f>SUM(Table1[[#This Row],[CY 2023]:[CY 2026]])</f>
        <v>22000</v>
      </c>
      <c r="J11" s="376">
        <v>400</v>
      </c>
      <c r="K11" s="376">
        <f t="shared" si="0"/>
        <v>8800000</v>
      </c>
      <c r="L11" s="379" t="s">
        <v>362</v>
      </c>
      <c r="M11" s="381" t="s">
        <v>333</v>
      </c>
      <c r="N11" t="s">
        <v>337</v>
      </c>
      <c r="O11" t="s">
        <v>337</v>
      </c>
      <c r="Q11" s="384">
        <v>7</v>
      </c>
      <c r="R11" s="384" t="str">
        <v>Scottsdale</v>
      </c>
      <c r="S11" s="417">
        <v>7000</v>
      </c>
      <c r="T11" s="417">
        <v>6000</v>
      </c>
      <c r="U11" s="385">
        <v>5000</v>
      </c>
      <c r="V11" s="384">
        <v>4000</v>
      </c>
      <c r="W11" s="384">
        <v>2800</v>
      </c>
      <c r="Y11" s="384">
        <v>16</v>
      </c>
      <c r="Z11" s="384" t="str">
        <v>YMIDD</v>
      </c>
      <c r="AA11" s="416">
        <v>21556</v>
      </c>
      <c r="AB11" s="416">
        <v>21657</v>
      </c>
      <c r="AC11" s="384">
        <v>23615</v>
      </c>
      <c r="AD11" s="384">
        <v>23893</v>
      </c>
      <c r="AE11" s="384">
        <v>0</v>
      </c>
      <c r="AG11" s="383">
        <v>26</v>
      </c>
      <c r="AH11" s="383" t="str">
        <v>MWD (B2)</v>
      </c>
      <c r="AI11" s="383">
        <v>0</v>
      </c>
      <c r="AJ11" s="383">
        <v>27010</v>
      </c>
      <c r="AK11" s="383">
        <v>0</v>
      </c>
      <c r="AL11" s="383">
        <v>0</v>
      </c>
      <c r="AM11" s="383">
        <v>0</v>
      </c>
    </row>
    <row r="12" spans="1:39" x14ac:dyDescent="0.3">
      <c r="A12" s="378">
        <v>8</v>
      </c>
      <c r="B12" s="378" t="s">
        <v>311</v>
      </c>
      <c r="C12" s="378" t="s">
        <v>310</v>
      </c>
      <c r="D12" s="377">
        <v>50000</v>
      </c>
      <c r="E12" s="377">
        <v>30000</v>
      </c>
      <c r="F12" s="377">
        <v>30000</v>
      </c>
      <c r="G12" s="377">
        <v>52800</v>
      </c>
      <c r="H12" s="377">
        <v>3657</v>
      </c>
      <c r="I12" s="377">
        <f>SUM(Table1[[#This Row],[CY 2023]:[CY 2026]])</f>
        <v>162800</v>
      </c>
      <c r="J12" s="376">
        <v>400</v>
      </c>
      <c r="K12" s="376">
        <f t="shared" si="0"/>
        <v>65120000</v>
      </c>
      <c r="L12" s="379" t="s">
        <v>309</v>
      </c>
      <c r="M12" s="381" t="s">
        <v>333</v>
      </c>
      <c r="N12" t="s">
        <v>337</v>
      </c>
      <c r="O12" t="s">
        <v>337</v>
      </c>
      <c r="Q12" s="384">
        <v>8</v>
      </c>
      <c r="R12" s="384" t="str">
        <v>Tucson</v>
      </c>
      <c r="S12" s="417">
        <v>50000</v>
      </c>
      <c r="T12" s="417">
        <v>30000</v>
      </c>
      <c r="U12" s="385">
        <v>30000</v>
      </c>
      <c r="V12" s="384">
        <v>52800</v>
      </c>
      <c r="W12" s="384">
        <v>3657</v>
      </c>
      <c r="Y12" s="384">
        <v>17</v>
      </c>
      <c r="Z12" s="384" t="str">
        <v>CVIDD</v>
      </c>
      <c r="AA12" s="416">
        <v>1682</v>
      </c>
      <c r="AB12" s="416">
        <v>2328</v>
      </c>
      <c r="AC12" s="384">
        <v>2328</v>
      </c>
      <c r="AD12" s="384">
        <v>2329</v>
      </c>
      <c r="AE12" s="384">
        <v>0</v>
      </c>
      <c r="AG12" s="383"/>
      <c r="AH12" s="383"/>
      <c r="AI12" s="383"/>
      <c r="AJ12" s="383"/>
      <c r="AK12" s="383"/>
      <c r="AL12" s="383"/>
      <c r="AM12" s="383"/>
    </row>
    <row r="13" spans="1:39" x14ac:dyDescent="0.3">
      <c r="A13" s="378">
        <v>9</v>
      </c>
      <c r="B13" s="378" t="s">
        <v>308</v>
      </c>
      <c r="C13" s="378" t="s">
        <v>307</v>
      </c>
      <c r="D13" s="377">
        <v>13933</v>
      </c>
      <c r="E13" s="377">
        <v>13933</v>
      </c>
      <c r="F13" s="377">
        <v>13933</v>
      </c>
      <c r="G13" s="377">
        <v>13933</v>
      </c>
      <c r="H13" s="377"/>
      <c r="I13" s="377">
        <f>SUM(Table1[[#This Row],[CY 2023]:[CY 2026]])</f>
        <v>55732</v>
      </c>
      <c r="J13" s="376">
        <v>400</v>
      </c>
      <c r="K13" s="376">
        <f>J13*I13</f>
        <v>22292800</v>
      </c>
      <c r="L13" s="375" t="s">
        <v>306</v>
      </c>
      <c r="M13" s="375" t="s">
        <v>334</v>
      </c>
      <c r="N13" t="s">
        <v>337</v>
      </c>
      <c r="O13" t="s">
        <v>337</v>
      </c>
      <c r="Q13" s="384">
        <v>24</v>
      </c>
      <c r="R13" s="384" t="str">
        <v>Spanish Trail Water Company</v>
      </c>
      <c r="S13" s="416">
        <v>0</v>
      </c>
      <c r="T13" s="416">
        <v>2400</v>
      </c>
      <c r="U13" s="384">
        <v>2400</v>
      </c>
      <c r="V13" s="384">
        <v>2400</v>
      </c>
      <c r="W13" s="384">
        <v>0</v>
      </c>
      <c r="Y13" s="384">
        <v>19</v>
      </c>
      <c r="Z13" s="384" t="str">
        <v>Hopi</v>
      </c>
      <c r="AA13" s="416">
        <v>2679</v>
      </c>
      <c r="AB13" s="416">
        <v>3059</v>
      </c>
      <c r="AC13" s="384">
        <v>3059</v>
      </c>
      <c r="AD13" s="384">
        <v>3059</v>
      </c>
      <c r="AE13" s="384">
        <v>0</v>
      </c>
      <c r="AG13" s="383"/>
      <c r="AH13" s="383"/>
      <c r="AI13" s="383"/>
      <c r="AJ13" s="383"/>
      <c r="AK13" s="383"/>
      <c r="AL13" s="383"/>
      <c r="AM13" s="383"/>
    </row>
    <row r="14" spans="1:39" x14ac:dyDescent="0.3">
      <c r="A14" s="378">
        <v>10</v>
      </c>
      <c r="B14" s="378" t="s">
        <v>140</v>
      </c>
      <c r="C14" s="378" t="s">
        <v>305</v>
      </c>
      <c r="D14" s="377">
        <v>91319</v>
      </c>
      <c r="E14" s="377">
        <v>125000</v>
      </c>
      <c r="F14" s="377">
        <v>119561</v>
      </c>
      <c r="G14" s="377">
        <v>75363</v>
      </c>
      <c r="H14" s="377">
        <v>67581</v>
      </c>
      <c r="I14" s="377">
        <f>SUM(Table1[[#This Row],[CY 2023]:[CY 2026]])</f>
        <v>411243</v>
      </c>
      <c r="J14" s="376">
        <v>400</v>
      </c>
      <c r="K14" s="376">
        <f>I14*J14</f>
        <v>164497200</v>
      </c>
      <c r="L14" s="375" t="s">
        <v>304</v>
      </c>
      <c r="M14" s="375" t="s">
        <v>334</v>
      </c>
      <c r="N14" t="s">
        <v>337</v>
      </c>
      <c r="O14" t="s">
        <v>337</v>
      </c>
      <c r="Q14" s="384"/>
      <c r="R14" s="384"/>
      <c r="S14" s="384"/>
      <c r="T14" s="384"/>
      <c r="U14" s="384"/>
      <c r="V14" s="384"/>
      <c r="W14" s="384"/>
      <c r="Y14" s="384">
        <v>23</v>
      </c>
      <c r="Z14" s="384" t="str">
        <v>242 Wellfield</v>
      </c>
      <c r="AA14" s="416">
        <v>7007</v>
      </c>
      <c r="AB14" s="416">
        <v>22169</v>
      </c>
      <c r="AC14" s="384">
        <v>32000</v>
      </c>
      <c r="AD14" s="384">
        <v>50000</v>
      </c>
      <c r="AE14" s="384">
        <v>0</v>
      </c>
    </row>
    <row r="15" spans="1:39" x14ac:dyDescent="0.3">
      <c r="A15" s="378">
        <v>11</v>
      </c>
      <c r="B15" s="378" t="s">
        <v>303</v>
      </c>
      <c r="C15" s="378" t="s">
        <v>302</v>
      </c>
      <c r="D15" s="377">
        <v>23804</v>
      </c>
      <c r="E15" s="377">
        <v>23451</v>
      </c>
      <c r="F15" s="377">
        <v>23451</v>
      </c>
      <c r="G15" s="377">
        <v>23451</v>
      </c>
      <c r="H15" s="377"/>
      <c r="I15" s="377">
        <f>SUM(Table1[[#This Row],[CY 2023]:[CY 2026]])</f>
        <v>94157</v>
      </c>
      <c r="J15" s="376">
        <v>330</v>
      </c>
      <c r="K15" s="376">
        <f>I15*J15</f>
        <v>31071810</v>
      </c>
      <c r="L15" s="387" t="s">
        <v>349</v>
      </c>
      <c r="M15" s="375" t="s">
        <v>334</v>
      </c>
      <c r="N15" t="s">
        <v>337</v>
      </c>
      <c r="O15" t="s">
        <v>337</v>
      </c>
      <c r="Q15" s="385"/>
      <c r="R15" s="384"/>
      <c r="S15" s="384"/>
      <c r="T15" s="384"/>
      <c r="U15" s="384"/>
      <c r="V15" s="384"/>
      <c r="W15" s="384"/>
      <c r="Y15" s="384"/>
      <c r="Z15" s="384"/>
      <c r="AA15" s="384"/>
      <c r="AB15" s="384"/>
      <c r="AC15" s="384"/>
      <c r="AD15" s="384"/>
      <c r="AE15" s="384"/>
    </row>
    <row r="16" spans="1:39" ht="43.2" x14ac:dyDescent="0.3">
      <c r="B16" t="s">
        <v>301</v>
      </c>
      <c r="C16" t="s">
        <v>300</v>
      </c>
      <c r="D16" s="1"/>
      <c r="E16" s="1">
        <v>0</v>
      </c>
      <c r="F16" s="1">
        <v>0</v>
      </c>
      <c r="G16" s="1"/>
      <c r="H16" s="1"/>
      <c r="I16" s="1">
        <f>SUM(Table1[[#This Row],[CY 2023]:[CY 2026]])</f>
        <v>0</v>
      </c>
      <c r="J16" s="374"/>
      <c r="K16" s="374">
        <f>I16*J16</f>
        <v>0</v>
      </c>
      <c r="L16" s="332" t="s">
        <v>299</v>
      </c>
      <c r="M16" s="382" t="s">
        <v>334</v>
      </c>
      <c r="N16" t="s">
        <v>336</v>
      </c>
      <c r="Q16" s="384"/>
      <c r="R16" s="384"/>
      <c r="S16" s="384"/>
      <c r="T16" s="384"/>
      <c r="U16" s="384"/>
      <c r="V16" s="384"/>
      <c r="W16" s="384"/>
      <c r="Y16" s="384"/>
      <c r="Z16" s="384"/>
      <c r="AA16" s="384"/>
      <c r="AB16" s="384"/>
      <c r="AC16" s="384"/>
      <c r="AD16" s="384"/>
      <c r="AE16" s="384"/>
    </row>
    <row r="17" spans="1:31" x14ac:dyDescent="0.3">
      <c r="A17" s="378">
        <v>12</v>
      </c>
      <c r="B17" s="378" t="s">
        <v>514</v>
      </c>
      <c r="C17" s="378" t="s">
        <v>298</v>
      </c>
      <c r="D17" s="377">
        <v>3240</v>
      </c>
      <c r="E17" s="377">
        <v>3240</v>
      </c>
      <c r="F17" s="377">
        <v>3240</v>
      </c>
      <c r="G17" s="377">
        <v>3240</v>
      </c>
      <c r="H17" s="377"/>
      <c r="I17" s="377">
        <f>SUM(Table1[[#This Row],[CY 2023]:[CY 2026]])</f>
        <v>12960</v>
      </c>
      <c r="J17" s="376">
        <v>400</v>
      </c>
      <c r="K17" s="376">
        <f>I17*J17</f>
        <v>5184000</v>
      </c>
      <c r="L17" s="390" t="s">
        <v>353</v>
      </c>
      <c r="M17" s="391" t="s">
        <v>335</v>
      </c>
      <c r="N17" t="s">
        <v>337</v>
      </c>
      <c r="O17" t="s">
        <v>337</v>
      </c>
      <c r="Y17" s="384"/>
      <c r="Z17" s="384"/>
      <c r="AA17" s="384"/>
      <c r="AB17" s="384"/>
      <c r="AC17" s="384"/>
      <c r="AD17" s="384"/>
      <c r="AE17" s="384"/>
    </row>
    <row r="18" spans="1:31" x14ac:dyDescent="0.3">
      <c r="A18" s="378">
        <v>13</v>
      </c>
      <c r="B18" s="378" t="s">
        <v>141</v>
      </c>
      <c r="C18" s="378" t="s">
        <v>297</v>
      </c>
      <c r="D18" s="377">
        <v>12812</v>
      </c>
      <c r="E18" s="396">
        <v>13293</v>
      </c>
      <c r="F18" s="396">
        <v>13694</v>
      </c>
      <c r="G18" s="396">
        <v>14184</v>
      </c>
      <c r="H18" s="396"/>
      <c r="I18" s="377">
        <f>SUM(Table1[[#This Row],[CY 2023]:[CY 2026]])</f>
        <v>53983</v>
      </c>
      <c r="J18" s="376">
        <v>400</v>
      </c>
      <c r="K18" s="396" t="s">
        <v>284</v>
      </c>
      <c r="L18" s="391" t="s">
        <v>371</v>
      </c>
      <c r="M18" s="391" t="s">
        <v>335</v>
      </c>
      <c r="N18" t="s">
        <v>337</v>
      </c>
      <c r="O18" t="s">
        <v>337</v>
      </c>
      <c r="Y18" s="384"/>
      <c r="Z18" s="384"/>
      <c r="AA18" s="384"/>
      <c r="AB18" s="384"/>
      <c r="AC18" s="384"/>
      <c r="AD18" s="384"/>
      <c r="AE18" s="384"/>
    </row>
    <row r="19" spans="1:31" x14ac:dyDescent="0.3">
      <c r="A19" s="378">
        <v>14</v>
      </c>
      <c r="B19" s="378" t="s">
        <v>296</v>
      </c>
      <c r="C19" s="378" t="s">
        <v>295</v>
      </c>
      <c r="D19" s="377">
        <v>35000</v>
      </c>
      <c r="E19" s="377">
        <v>35000</v>
      </c>
      <c r="F19" s="377">
        <v>35000</v>
      </c>
      <c r="G19" s="377">
        <v>35000</v>
      </c>
      <c r="H19" s="377"/>
      <c r="I19" s="377">
        <f>SUM(Table1[[#This Row],[CY 2023]:[CY 2026]])</f>
        <v>140000</v>
      </c>
      <c r="J19" s="376">
        <v>400</v>
      </c>
      <c r="K19" s="376">
        <f>I19*J19</f>
        <v>56000000</v>
      </c>
      <c r="L19" s="390" t="s">
        <v>363</v>
      </c>
      <c r="M19" s="391" t="s">
        <v>126</v>
      </c>
      <c r="N19" t="s">
        <v>337</v>
      </c>
      <c r="O19" t="s">
        <v>337</v>
      </c>
    </row>
    <row r="20" spans="1:31" x14ac:dyDescent="0.3">
      <c r="A20" s="378">
        <v>15</v>
      </c>
      <c r="B20" s="378" t="s">
        <v>294</v>
      </c>
      <c r="C20" s="378" t="s">
        <v>293</v>
      </c>
      <c r="D20" s="397">
        <v>57</v>
      </c>
      <c r="E20" s="378">
        <v>60.5</v>
      </c>
      <c r="F20" s="378">
        <v>60.5</v>
      </c>
      <c r="G20" s="378">
        <v>61</v>
      </c>
      <c r="H20" s="378"/>
      <c r="I20" s="377">
        <f>SUM(Table1[[#This Row],[CY 2023]:[CY 2026]])</f>
        <v>239</v>
      </c>
      <c r="J20" s="376">
        <v>400</v>
      </c>
      <c r="K20" s="376">
        <f>I20*J20</f>
        <v>95600</v>
      </c>
      <c r="L20" s="390" t="s">
        <v>371</v>
      </c>
      <c r="M20" s="391" t="s">
        <v>335</v>
      </c>
      <c r="N20" t="s">
        <v>337</v>
      </c>
      <c r="O20" t="s">
        <v>337</v>
      </c>
    </row>
    <row r="21" spans="1:31" x14ac:dyDescent="0.3">
      <c r="A21" s="378">
        <v>16</v>
      </c>
      <c r="B21" s="378" t="s">
        <v>292</v>
      </c>
      <c r="C21" s="378" t="s">
        <v>291</v>
      </c>
      <c r="D21" s="377">
        <v>21556</v>
      </c>
      <c r="E21" s="378">
        <v>21657</v>
      </c>
      <c r="F21" s="378">
        <v>23615</v>
      </c>
      <c r="G21" s="378">
        <v>23893</v>
      </c>
      <c r="H21" s="378"/>
      <c r="I21" s="377">
        <f>SUM(Table1[[#This Row],[CY 2023]:[CY 2026]])</f>
        <v>90721</v>
      </c>
      <c r="J21" s="378"/>
      <c r="K21" s="378"/>
      <c r="L21" s="391" t="s">
        <v>371</v>
      </c>
      <c r="M21" s="391" t="s">
        <v>335</v>
      </c>
      <c r="N21" t="s">
        <v>337</v>
      </c>
      <c r="O21" t="s">
        <v>337</v>
      </c>
    </row>
    <row r="22" spans="1:31" x14ac:dyDescent="0.3">
      <c r="A22" s="378">
        <v>17</v>
      </c>
      <c r="B22" s="378" t="s">
        <v>290</v>
      </c>
      <c r="C22" s="378" t="s">
        <v>289</v>
      </c>
      <c r="D22" s="388">
        <v>1682</v>
      </c>
      <c r="E22" s="389">
        <v>2328</v>
      </c>
      <c r="F22" s="389">
        <v>2328</v>
      </c>
      <c r="G22" s="389">
        <v>2329</v>
      </c>
      <c r="H22" s="389"/>
      <c r="I22" s="377">
        <f>SUM(Table1[[#This Row],[CY 2023]:[CY 2026]])</f>
        <v>8667</v>
      </c>
      <c r="J22" s="378"/>
      <c r="K22" s="378"/>
      <c r="L22" s="390" t="s">
        <v>350</v>
      </c>
      <c r="M22" s="391" t="s">
        <v>335</v>
      </c>
      <c r="N22" t="s">
        <v>337</v>
      </c>
      <c r="O22" t="s">
        <v>337</v>
      </c>
    </row>
    <row r="23" spans="1:31" x14ac:dyDescent="0.3">
      <c r="A23" s="378">
        <v>18</v>
      </c>
      <c r="B23" s="378" t="s">
        <v>288</v>
      </c>
      <c r="C23" s="378"/>
      <c r="D23" s="378">
        <v>106111</v>
      </c>
      <c r="E23" s="378">
        <v>257640</v>
      </c>
      <c r="F23" s="378">
        <v>250000</v>
      </c>
      <c r="G23" s="378">
        <v>192360</v>
      </c>
      <c r="H23" s="378"/>
      <c r="I23" s="377">
        <f>SUM(Table1[[#This Row],[CY 2023]:[CY 2026]])</f>
        <v>806111</v>
      </c>
      <c r="J23" s="378"/>
      <c r="K23" s="378"/>
      <c r="L23" s="378" t="s">
        <v>396</v>
      </c>
      <c r="M23" s="391" t="s">
        <v>126</v>
      </c>
      <c r="N23" t="s">
        <v>337</v>
      </c>
      <c r="O23" t="s">
        <v>337</v>
      </c>
    </row>
    <row r="24" spans="1:31" x14ac:dyDescent="0.3">
      <c r="A24" s="378">
        <v>19</v>
      </c>
      <c r="B24" s="378" t="s">
        <v>287</v>
      </c>
      <c r="C24" s="378" t="s">
        <v>286</v>
      </c>
      <c r="D24" s="378">
        <v>2679</v>
      </c>
      <c r="E24" s="378">
        <v>3059</v>
      </c>
      <c r="F24" s="378">
        <v>3059</v>
      </c>
      <c r="G24" s="378">
        <v>3059</v>
      </c>
      <c r="H24" s="378"/>
      <c r="I24" s="377">
        <f>SUM(Table1[[#This Row],[CY 2023]:[CY 2026]])</f>
        <v>11856</v>
      </c>
      <c r="J24" s="378"/>
      <c r="K24" s="378"/>
      <c r="L24" s="390" t="s">
        <v>393</v>
      </c>
      <c r="M24" s="391" t="s">
        <v>335</v>
      </c>
      <c r="N24" t="s">
        <v>337</v>
      </c>
      <c r="O24" t="s">
        <v>337</v>
      </c>
    </row>
    <row r="25" spans="1:31" x14ac:dyDescent="0.3">
      <c r="A25">
        <v>20</v>
      </c>
      <c r="B25" t="s">
        <v>484</v>
      </c>
      <c r="C25" t="s">
        <v>285</v>
      </c>
      <c r="E25">
        <v>5700</v>
      </c>
      <c r="F25">
        <v>9286</v>
      </c>
      <c r="G25">
        <v>11400</v>
      </c>
      <c r="I25" s="1">
        <f>SUM(Table1[[#This Row],[CY 2023]:[CY 2026]])</f>
        <v>26386</v>
      </c>
      <c r="L25" t="s">
        <v>284</v>
      </c>
      <c r="M25" s="373" t="s">
        <v>126</v>
      </c>
      <c r="N25" t="s">
        <v>337</v>
      </c>
      <c r="O25" t="s">
        <v>337</v>
      </c>
    </row>
    <row r="26" spans="1:31" ht="40.200000000000003" x14ac:dyDescent="0.3">
      <c r="A26" s="413">
        <v>21</v>
      </c>
      <c r="B26" s="378" t="s">
        <v>283</v>
      </c>
      <c r="C26" s="378" t="s">
        <v>282</v>
      </c>
      <c r="D26" s="378">
        <v>13000</v>
      </c>
      <c r="E26" s="378">
        <v>13000</v>
      </c>
      <c r="F26" s="378">
        <v>13000</v>
      </c>
      <c r="G26" s="378">
        <v>13000</v>
      </c>
      <c r="H26" s="378"/>
      <c r="I26" s="377">
        <f>SUM(Table1[[#This Row],[CY 2023]:[CY 2026]])</f>
        <v>52000</v>
      </c>
      <c r="J26" s="378"/>
      <c r="K26" s="378"/>
      <c r="L26" s="391" t="s">
        <v>405</v>
      </c>
      <c r="M26" s="391" t="s">
        <v>126</v>
      </c>
      <c r="N26" t="s">
        <v>337</v>
      </c>
      <c r="O26" t="s">
        <v>337</v>
      </c>
    </row>
    <row r="27" spans="1:31" ht="66.599999999999994" x14ac:dyDescent="0.3">
      <c r="A27" s="378">
        <v>22</v>
      </c>
      <c r="B27" s="378" t="s">
        <v>281</v>
      </c>
      <c r="C27" s="378"/>
      <c r="D27" s="378"/>
      <c r="E27" s="378">
        <v>725</v>
      </c>
      <c r="F27" s="378">
        <v>3889</v>
      </c>
      <c r="G27" s="378">
        <v>6511</v>
      </c>
      <c r="H27" s="378"/>
      <c r="I27" s="377">
        <f>SUM(Table1[[#This Row],[CY 2023]:[CY 2026]])</f>
        <v>11125</v>
      </c>
      <c r="J27" s="378"/>
      <c r="K27" s="378"/>
      <c r="L27" s="391" t="s">
        <v>280</v>
      </c>
      <c r="M27" s="391" t="s">
        <v>126</v>
      </c>
      <c r="N27" t="s">
        <v>337</v>
      </c>
    </row>
    <row r="28" spans="1:31" x14ac:dyDescent="0.3">
      <c r="A28">
        <v>23</v>
      </c>
      <c r="B28" t="s">
        <v>342</v>
      </c>
      <c r="D28">
        <v>7007</v>
      </c>
      <c r="E28">
        <v>22169</v>
      </c>
      <c r="F28">
        <v>32000</v>
      </c>
      <c r="G28">
        <v>50000</v>
      </c>
      <c r="I28" s="1">
        <f>SUM(Table1[[#This Row],[CY 2023]:[CY 2026]])</f>
        <v>111176</v>
      </c>
      <c r="L28" s="373" t="s">
        <v>398</v>
      </c>
      <c r="M28" s="373" t="s">
        <v>335</v>
      </c>
      <c r="N28" t="s">
        <v>337</v>
      </c>
      <c r="O28" t="s">
        <v>337</v>
      </c>
    </row>
    <row r="29" spans="1:31" ht="97.2" x14ac:dyDescent="0.3">
      <c r="A29" s="378">
        <v>24</v>
      </c>
      <c r="B29" s="378" t="s">
        <v>369</v>
      </c>
      <c r="C29" s="378"/>
      <c r="D29" s="378">
        <v>0</v>
      </c>
      <c r="E29" s="378">
        <v>2400</v>
      </c>
      <c r="F29" s="378">
        <v>2400</v>
      </c>
      <c r="G29" s="378">
        <v>2400</v>
      </c>
      <c r="H29" s="378"/>
      <c r="I29" s="377">
        <f>SUM(Table1[[#This Row],[CY 2023]:[CY 2026]])</f>
        <v>7200</v>
      </c>
      <c r="J29" s="378"/>
      <c r="K29" s="378"/>
      <c r="L29" s="398" t="s">
        <v>370</v>
      </c>
      <c r="M29" s="391" t="s">
        <v>333</v>
      </c>
      <c r="N29" t="s">
        <v>337</v>
      </c>
    </row>
    <row r="30" spans="1:31" x14ac:dyDescent="0.3">
      <c r="A30" s="378">
        <v>25</v>
      </c>
      <c r="B30" s="378" t="s">
        <v>397</v>
      </c>
      <c r="C30" s="378"/>
      <c r="D30" s="378">
        <v>71507</v>
      </c>
      <c r="E30" s="378">
        <v>117021</v>
      </c>
      <c r="F30" s="378">
        <v>117021</v>
      </c>
      <c r="G30" s="378">
        <f>83272+36066</f>
        <v>119338</v>
      </c>
      <c r="H30" s="378"/>
      <c r="I30" s="377">
        <f>SUM(Table1[[#This Row],[CY 2023]:[CY 2026]])</f>
        <v>424887</v>
      </c>
      <c r="L30" s="391" t="s">
        <v>398</v>
      </c>
      <c r="M30" s="391" t="s">
        <v>126</v>
      </c>
      <c r="N30" t="s">
        <v>337</v>
      </c>
      <c r="O30" t="s">
        <v>337</v>
      </c>
    </row>
    <row r="31" spans="1:31" x14ac:dyDescent="0.3">
      <c r="A31" s="378">
        <v>26</v>
      </c>
      <c r="B31" s="378" t="s">
        <v>511</v>
      </c>
      <c r="C31" s="378"/>
      <c r="D31" s="378"/>
      <c r="E31" s="378">
        <v>27010</v>
      </c>
      <c r="F31" s="378"/>
      <c r="G31" s="378"/>
      <c r="H31" s="378"/>
      <c r="I31" s="378">
        <f>SUM(Table1[[#This Row],[CY 2023]:[CY 2026]])</f>
        <v>27010</v>
      </c>
      <c r="J31" s="378"/>
      <c r="K31" s="378"/>
      <c r="L31" s="391" t="s">
        <v>513</v>
      </c>
      <c r="M31" s="391" t="s">
        <v>126</v>
      </c>
      <c r="N31" t="s">
        <v>337</v>
      </c>
      <c r="O31" t="s">
        <v>337</v>
      </c>
    </row>
    <row r="32" spans="1:31" x14ac:dyDescent="0.3">
      <c r="S32">
        <v>2023</v>
      </c>
      <c r="T32">
        <v>2024</v>
      </c>
      <c r="U32">
        <v>2025</v>
      </c>
      <c r="V32">
        <v>2026</v>
      </c>
    </row>
    <row r="33" spans="18:22" x14ac:dyDescent="0.3">
      <c r="R33" t="s">
        <v>174</v>
      </c>
      <c r="S33">
        <f>SUM(S2,AA2,AI2)</f>
        <v>545107</v>
      </c>
      <c r="T33">
        <f>SUM(T2,AB2,AJ2)</f>
        <v>807686.5</v>
      </c>
      <c r="U33">
        <f>SUM(U2,AC2,AK2)</f>
        <v>788640.5</v>
      </c>
      <c r="V33">
        <f>SUM(V2,AD2,AL2)</f>
        <v>685922</v>
      </c>
    </row>
    <row r="35" spans="18:22" x14ac:dyDescent="0.3">
      <c r="R35" t="s">
        <v>489</v>
      </c>
      <c r="S35" s="1">
        <f>S33</f>
        <v>545107</v>
      </c>
      <c r="T35" s="1">
        <f>S35+T33</f>
        <v>1352793.5</v>
      </c>
      <c r="U35" s="1">
        <f t="shared" ref="U35:V35" si="1">T35+U33</f>
        <v>2141434</v>
      </c>
      <c r="V35" s="1">
        <f t="shared" si="1"/>
        <v>2827356</v>
      </c>
    </row>
    <row r="38" spans="18:22" x14ac:dyDescent="0.3">
      <c r="R38" t="s">
        <v>490</v>
      </c>
      <c r="S38" s="508">
        <f>S35/77000</f>
        <v>7.0793116883116882</v>
      </c>
      <c r="T38" s="508">
        <f t="shared" ref="T38:V38" si="2">T35/77000</f>
        <v>17.568746753246753</v>
      </c>
      <c r="U38" s="508">
        <f t="shared" si="2"/>
        <v>27.810831168831168</v>
      </c>
      <c r="V38" s="508">
        <f t="shared" si="2"/>
        <v>36.718909090909094</v>
      </c>
    </row>
    <row r="41" spans="18:22" x14ac:dyDescent="0.3">
      <c r="R41" t="s">
        <v>139</v>
      </c>
      <c r="S41" s="507">
        <f>700000/77000</f>
        <v>9.0909090909090917</v>
      </c>
    </row>
  </sheetData>
  <phoneticPr fontId="39" type="noConversion"/>
  <pageMargins left="0.7" right="0.7" top="0.75" bottom="0.75" header="0.3" footer="0.3"/>
  <pageSetup scale="25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C3315-EAF7-43E4-97C1-99578D9B3C46}">
  <sheetPr codeName="Sheet1"/>
  <dimension ref="A1:DA122"/>
  <sheetViews>
    <sheetView topLeftCell="A78" zoomScale="120" zoomScaleNormal="120" workbookViewId="0">
      <selection activeCell="F105" sqref="F105"/>
    </sheetView>
  </sheetViews>
  <sheetFormatPr defaultColWidth="9.44140625" defaultRowHeight="13.2" x14ac:dyDescent="0.25"/>
  <cols>
    <col min="1" max="2" width="9.44140625" style="433"/>
    <col min="3" max="3" width="5.44140625" style="433" bestFit="1" customWidth="1"/>
    <col min="4" max="4" width="5.44140625" style="434" customWidth="1"/>
    <col min="5" max="5" width="46.44140625" style="433" bestFit="1" customWidth="1"/>
    <col min="6" max="9" width="10.44140625" style="433" customWidth="1"/>
    <col min="10" max="10" width="11.5546875" style="433" customWidth="1"/>
    <col min="11" max="11" width="10.44140625" style="433" customWidth="1"/>
    <col min="12" max="12" width="19.44140625" style="433" bestFit="1" customWidth="1"/>
    <col min="13" max="13" width="16.5546875" style="433" bestFit="1" customWidth="1"/>
    <col min="14" max="18" width="10.5546875" style="435" customWidth="1"/>
    <col min="19" max="19" width="10.5546875" style="433" customWidth="1"/>
    <col min="20" max="20" width="8.5546875" style="433" bestFit="1" customWidth="1"/>
    <col min="21" max="22" width="8.5546875" style="433" customWidth="1"/>
    <col min="23" max="23" width="5.5546875" style="433" bestFit="1" customWidth="1"/>
    <col min="24" max="24" width="61.5546875" style="433" bestFit="1" customWidth="1"/>
    <col min="25" max="29" width="12.5546875" style="433" customWidth="1"/>
    <col min="30" max="32" width="8.5546875" style="433" bestFit="1" customWidth="1"/>
    <col min="33" max="33" width="6.5546875" style="433" bestFit="1" customWidth="1"/>
    <col min="34" max="35" width="9.5546875" style="433" bestFit="1" customWidth="1"/>
    <col min="36" max="36" width="10.44140625" style="433" bestFit="1" customWidth="1"/>
    <col min="37" max="37" width="6.5546875" style="433" bestFit="1" customWidth="1"/>
    <col min="38" max="39" width="9.5546875" style="433" bestFit="1" customWidth="1"/>
    <col min="40" max="40" width="10.44140625" style="433" bestFit="1" customWidth="1"/>
    <col min="41" max="41" width="6.5546875" style="433" bestFit="1" customWidth="1"/>
    <col min="42" max="43" width="9.5546875" style="433" bestFit="1" customWidth="1"/>
    <col min="44" max="44" width="10.44140625" style="433" bestFit="1" customWidth="1"/>
    <col min="45" max="45" width="7.5546875" style="433" bestFit="1" customWidth="1"/>
    <col min="46" max="47" width="10.5546875" style="433" bestFit="1" customWidth="1"/>
    <col min="48" max="48" width="10.44140625" style="433" bestFit="1" customWidth="1"/>
    <col min="49" max="49" width="7.5546875" style="433" bestFit="1" customWidth="1"/>
    <col min="50" max="51" width="10.5546875" style="433" bestFit="1" customWidth="1"/>
    <col min="52" max="52" width="11.44140625" style="433" bestFit="1" customWidth="1"/>
    <col min="53" max="53" width="7.5546875" style="433" bestFit="1" customWidth="1"/>
    <col min="54" max="55" width="10.5546875" style="433" bestFit="1" customWidth="1"/>
    <col min="56" max="56" width="11.44140625" style="433" bestFit="1" customWidth="1"/>
    <col min="57" max="57" width="7.5546875" style="433" bestFit="1" customWidth="1"/>
    <col min="58" max="59" width="10.5546875" style="433" bestFit="1" customWidth="1"/>
    <col min="60" max="60" width="11.44140625" style="433" bestFit="1" customWidth="1"/>
    <col min="61" max="61" width="7.5546875" style="433" bestFit="1" customWidth="1"/>
    <col min="62" max="63" width="10.5546875" style="433" bestFit="1" customWidth="1"/>
    <col min="64" max="64" width="11.44140625" style="433" bestFit="1" customWidth="1"/>
    <col min="65" max="67" width="6.5546875" style="433" bestFit="1" customWidth="1"/>
    <col min="68" max="68" width="11.44140625" style="433" bestFit="1" customWidth="1"/>
    <col min="69" max="69" width="7.5546875" style="433" bestFit="1" customWidth="1"/>
    <col min="70" max="71" width="10.5546875" style="433" bestFit="1" customWidth="1"/>
    <col min="72" max="72" width="11.44140625" style="433" bestFit="1" customWidth="1"/>
    <col min="73" max="73" width="7.5546875" style="433" bestFit="1" customWidth="1"/>
    <col min="74" max="75" width="10.5546875" style="433" bestFit="1" customWidth="1"/>
    <col min="76" max="76" width="11.44140625" style="433" bestFit="1" customWidth="1"/>
    <col min="77" max="79" width="6.5546875" style="433" bestFit="1" customWidth="1"/>
    <col min="80" max="80" width="11.44140625" style="433" bestFit="1" customWidth="1"/>
    <col min="81" max="81" width="8.5546875" style="433" bestFit="1" customWidth="1"/>
    <col min="82" max="83" width="11.5546875" style="433" bestFit="1" customWidth="1"/>
    <col min="84" max="84" width="11.44140625" style="433" bestFit="1" customWidth="1"/>
    <col min="85" max="85" width="7.5546875" style="433" bestFit="1" customWidth="1"/>
    <col min="86" max="87" width="10.5546875" style="433" bestFit="1" customWidth="1"/>
    <col min="88" max="88" width="11.44140625" style="433" bestFit="1" customWidth="1"/>
    <col min="89" max="89" width="8.5546875" style="433" bestFit="1" customWidth="1"/>
    <col min="90" max="91" width="11.5546875" style="433" bestFit="1" customWidth="1"/>
    <col min="92" max="92" width="11.44140625" style="433" bestFit="1" customWidth="1"/>
    <col min="93" max="93" width="7.5546875" style="433" bestFit="1" customWidth="1"/>
    <col min="94" max="95" width="6.5546875" style="433" bestFit="1" customWidth="1"/>
    <col min="96" max="96" width="12.44140625" style="433" bestFit="1" customWidth="1"/>
    <col min="97" max="97" width="8.5546875" style="433" bestFit="1" customWidth="1"/>
    <col min="98" max="99" width="11.5546875" style="433" bestFit="1" customWidth="1"/>
    <col min="100" max="100" width="12.44140625" style="433" bestFit="1" customWidth="1"/>
    <col min="101" max="101" width="7.5546875" style="433" bestFit="1" customWidth="1"/>
    <col min="102" max="103" width="6.5546875" style="433" bestFit="1" customWidth="1"/>
    <col min="104" max="104" width="12.44140625" style="433" bestFit="1" customWidth="1"/>
    <col min="105" max="105" width="11.44140625" style="433" bestFit="1" customWidth="1"/>
    <col min="106" max="16384" width="9.44140625" style="433"/>
  </cols>
  <sheetData>
    <row r="1" spans="1:29" ht="13.8" thickBot="1" x14ac:dyDescent="0.3"/>
    <row r="2" spans="1:29" ht="22.5" customHeight="1" x14ac:dyDescent="0.25">
      <c r="W2" s="491" t="s">
        <v>200</v>
      </c>
      <c r="X2" s="492" t="s">
        <v>479</v>
      </c>
      <c r="Y2" s="492">
        <v>2023</v>
      </c>
      <c r="Z2" s="492">
        <v>2024</v>
      </c>
      <c r="AA2" s="492">
        <v>2025</v>
      </c>
      <c r="AB2" s="492">
        <v>2026</v>
      </c>
      <c r="AC2" s="493" t="s">
        <v>174</v>
      </c>
    </row>
    <row r="3" spans="1:29" x14ac:dyDescent="0.25">
      <c r="E3" s="399" t="s">
        <v>404</v>
      </c>
      <c r="F3" s="399">
        <v>2023</v>
      </c>
      <c r="G3" s="400">
        <v>2024</v>
      </c>
      <c r="H3" s="400">
        <v>2025</v>
      </c>
      <c r="I3" s="400">
        <v>2026</v>
      </c>
      <c r="J3" s="400"/>
      <c r="K3" s="400" t="s">
        <v>174</v>
      </c>
      <c r="W3" s="570" t="s">
        <v>128</v>
      </c>
      <c r="X3" s="476" t="s">
        <v>459</v>
      </c>
      <c r="Y3" s="477">
        <v>41776</v>
      </c>
      <c r="Z3" s="477">
        <v>0</v>
      </c>
      <c r="AA3" s="477">
        <v>0</v>
      </c>
      <c r="AB3" s="477">
        <v>0</v>
      </c>
      <c r="AC3" s="494">
        <f t="shared" ref="AC3:AC23" si="0">SUM(Y3:AB3)</f>
        <v>41776</v>
      </c>
    </row>
    <row r="4" spans="1:29" x14ac:dyDescent="0.25">
      <c r="A4" s="433">
        <f t="shared" ref="A4:A20" si="1">MATCH(E4,$E$28:$E$47,0)</f>
        <v>1</v>
      </c>
      <c r="E4" s="401" t="s">
        <v>385</v>
      </c>
      <c r="F4" s="402" cm="1">
        <f t="array" ref="F4">SUM(_xlfn._xlws.FILTER(Table1[CY 2023], (Table1[Modeled]="Yes")*(Table1[State] = "AZ-CAWCD")))</f>
        <v>141400</v>
      </c>
      <c r="G4" s="402" cm="1">
        <f t="array" ref="G4">SUM(_xlfn._xlws.FILTER(Table1[CY 2024], (Table1[Modeled]="Yes")*(Table1[State] = "AZ-CAWCD")))</f>
        <v>123400</v>
      </c>
      <c r="H4" s="402" cm="1">
        <f t="array" ref="H4">SUM(_xlfn._xlws.FILTER(Table1[CY 2025], (Table1[Modeled]="Yes")*(Table1[State] = "AZ-CAWCD")))</f>
        <v>125503</v>
      </c>
      <c r="I4" s="402" cm="1">
        <f t="array" ref="I4">SUM(_xlfn._xlws.FILTER(Table1[CY 2026], (Table1[Modeled]="Yes")*(Table1[State] = "AZ-CAWCD")))</f>
        <v>98800</v>
      </c>
      <c r="J4" s="403"/>
      <c r="K4" s="403">
        <f t="shared" ref="K4:K20" si="2">SUM(F4:I4)</f>
        <v>489103</v>
      </c>
      <c r="W4" s="571"/>
      <c r="X4" s="480" t="s">
        <v>460</v>
      </c>
      <c r="Y4" s="481" cm="1">
        <f t="array" ref="Y4">SUM(_xlfn._xlws.FILTER(Table1[CY 2023], (Table1[Modeled]="Yes")*(Table1[State] = "AZ-CAWCD")))</f>
        <v>141400</v>
      </c>
      <c r="Z4" s="481" cm="1">
        <f t="array" ref="Z4">SUM(_xlfn._xlws.FILTER(Table1[CY 2024], (Table1[Modeled]="Yes")*(Table1[State] = "AZ-CAWCD")))</f>
        <v>123400</v>
      </c>
      <c r="AA4" s="481" cm="1">
        <f t="array" ref="AA4">SUM(_xlfn._xlws.FILTER(Table1[CY 2025], (Table1[Modeled]="Yes")*(Table1[State] = "AZ-CAWCD")))</f>
        <v>125503</v>
      </c>
      <c r="AB4" s="481" cm="1">
        <f t="array" ref="AB4">SUM(_xlfn._xlws.FILTER(Table1[CY 2026], (Table1[Modeled]="Yes")*(Table1[State] = "AZ-CAWCD")))</f>
        <v>98800</v>
      </c>
      <c r="AC4" s="495">
        <f t="shared" si="0"/>
        <v>489103</v>
      </c>
    </row>
    <row r="5" spans="1:29" x14ac:dyDescent="0.25">
      <c r="A5" s="433">
        <f t="shared" si="1"/>
        <v>4</v>
      </c>
      <c r="E5" s="404" t="s">
        <v>386</v>
      </c>
      <c r="F5" s="405" cm="1">
        <f t="array" ref="F5">_xlfn._xlws.FILTER(Table1[CY 2023],(Table1[Contractor]="FMYN"))</f>
        <v>13933</v>
      </c>
      <c r="G5" s="406" cm="1">
        <f t="array" ref="G5">_xlfn._xlws.FILTER(Table1[CY 2024],(Table1[Contractor]="FMYN"))</f>
        <v>13933</v>
      </c>
      <c r="H5" s="406" cm="1">
        <f t="array" ref="H5">_xlfn._xlws.FILTER(Table1[CY 2025],(Table1[Contractor]="FMYN"))</f>
        <v>13933</v>
      </c>
      <c r="I5" s="405" cm="1">
        <f t="array" ref="I5">_xlfn._xlws.FILTER(Table1[CY 2026],(Table1[Contractor]="FMYN"))</f>
        <v>13933</v>
      </c>
      <c r="J5" s="406"/>
      <c r="K5" s="406">
        <f t="shared" si="2"/>
        <v>55732</v>
      </c>
      <c r="W5" s="571"/>
      <c r="X5" s="476" t="s">
        <v>461</v>
      </c>
      <c r="Y5" s="477" cm="1">
        <f t="array" ref="Y5">_xlfn._xlws.FILTER(Table1[CY 2023],(Table1[Contractor]="Cathcart"))</f>
        <v>57</v>
      </c>
      <c r="Z5" s="477" cm="1">
        <f t="array" ref="Z5">_xlfn._xlws.FILTER(Table1[CY 2024],(Table1[Contractor]="Cathcart"))</f>
        <v>60.5</v>
      </c>
      <c r="AA5" s="477" cm="1">
        <f t="array" ref="AA5">_xlfn._xlws.FILTER(Table1[CY 2025],(Table1[Contractor]="Cathcart"))</f>
        <v>60.5</v>
      </c>
      <c r="AB5" s="477" cm="1">
        <f t="array" ref="AB5">_xlfn._xlws.FILTER(Table1[CY 2026],(Table1[Contractor]="Cathcart"))</f>
        <v>61</v>
      </c>
      <c r="AC5" s="494">
        <f t="shared" si="0"/>
        <v>239</v>
      </c>
    </row>
    <row r="6" spans="1:29" x14ac:dyDescent="0.25">
      <c r="A6" s="433">
        <f t="shared" si="1"/>
        <v>9</v>
      </c>
      <c r="E6" s="404" t="s">
        <v>387</v>
      </c>
      <c r="F6" s="405" cm="1">
        <f t="array" ref="F6">_xlfn._xlws.FILTER(Table1[CY 2023],(Table1[Contractor]="SCAT"))</f>
        <v>23804</v>
      </c>
      <c r="G6" s="407" cm="1">
        <f t="array" ref="G6">_xlfn._xlws.FILTER(Table1[CY 2024],(Table1[Contractor]="SCAT"))</f>
        <v>23451</v>
      </c>
      <c r="H6" s="407" cm="1">
        <f t="array" ref="H6">_xlfn._xlws.FILTER(Table1[CY 2025],(Table1[Contractor]="SCAT"))</f>
        <v>23451</v>
      </c>
      <c r="I6" s="414" cm="1">
        <f t="array" ref="I6">_xlfn._xlws.FILTER(Table1[CY 2026],(Table1[Contractor]="SCAT"))</f>
        <v>23451</v>
      </c>
      <c r="J6" s="407"/>
      <c r="K6" s="406">
        <f t="shared" si="2"/>
        <v>94157</v>
      </c>
      <c r="W6" s="571"/>
      <c r="X6" s="480" t="s">
        <v>462</v>
      </c>
      <c r="Y6" s="481" cm="1">
        <f t="array" ref="Y6">_xlfn._xlws.FILTER(Table1[CY 2023],(Table1[Contractor]="CVIDD"))</f>
        <v>1682</v>
      </c>
      <c r="Z6" s="481" cm="1">
        <f t="array" ref="Z6">_xlfn._xlws.FILTER(Table1[CY 2024],(Table1[Contractor]="CVIDD"))</f>
        <v>2328</v>
      </c>
      <c r="AA6" s="481" cm="1">
        <f t="array" ref="AA6">_xlfn._xlws.FILTER(Table1[CY 2025],(Table1[Contractor]="CVIDD"))</f>
        <v>2328</v>
      </c>
      <c r="AB6" s="481" cm="1">
        <f t="array" ref="AB6">_xlfn._xlws.FILTER(Table1[CY 2026],(Table1[Contractor]="CVIDD"))</f>
        <v>2329</v>
      </c>
      <c r="AC6" s="495">
        <f t="shared" si="0"/>
        <v>8667</v>
      </c>
    </row>
    <row r="7" spans="1:29" x14ac:dyDescent="0.25">
      <c r="A7" s="433">
        <f t="shared" si="1"/>
        <v>12</v>
      </c>
      <c r="E7" s="404" t="s">
        <v>388</v>
      </c>
      <c r="F7" s="405" cm="1">
        <f t="array" ref="F7">_xlfn._xlws.FILTER(Table1[CY 2023],(Table1[Contractor]="CVWD Grd Wtr Replnt"))</f>
        <v>35000</v>
      </c>
      <c r="G7" s="406" cm="1">
        <f t="array" ref="G7">_xlfn._xlws.FILTER(Table1[CY 2024],(Table1[Contractor]="CVWD Grd Wtr Replnt"))</f>
        <v>35000</v>
      </c>
      <c r="H7" s="406" cm="1">
        <f t="array" ref="H7">_xlfn._xlws.FILTER(Table1[CY 2025],(Table1[Contractor]="CVWD Grd Wtr Replnt"))</f>
        <v>35000</v>
      </c>
      <c r="I7" s="405" cm="1">
        <f t="array" ref="I7">_xlfn._xlws.FILTER(Table1[CY 2026],(Table1[Contractor]="CVWD Grd Wtr Replnt"))</f>
        <v>35000</v>
      </c>
      <c r="J7" s="406"/>
      <c r="K7" s="406">
        <f t="shared" si="2"/>
        <v>140000</v>
      </c>
      <c r="W7" s="571"/>
      <c r="X7" s="476" t="s">
        <v>463</v>
      </c>
      <c r="Y7" s="477" cm="1">
        <f t="array" ref="Y7">_xlfn._xlws.FILTER(Table1[CY 2023],(Table1[Contractor]="FMYN"))</f>
        <v>13933</v>
      </c>
      <c r="Z7" s="477" cm="1">
        <f t="array" ref="Z7">_xlfn._xlws.FILTER(Table1[CY 2024],(Table1[Contractor]="FMYN"))</f>
        <v>13933</v>
      </c>
      <c r="AA7" s="477" cm="1">
        <f t="array" ref="AA7">_xlfn._xlws.FILTER(Table1[CY 2025],(Table1[Contractor]="FMYN"))</f>
        <v>13933</v>
      </c>
      <c r="AB7" s="477" cm="1">
        <f t="array" ref="AB7">_xlfn._xlws.FILTER(Table1[CY 2026],(Table1[Contractor]="FMYN"))</f>
        <v>13933</v>
      </c>
      <c r="AC7" s="494">
        <f t="shared" si="0"/>
        <v>55732</v>
      </c>
    </row>
    <row r="8" spans="1:29" x14ac:dyDescent="0.25">
      <c r="A8" s="433">
        <f t="shared" si="1"/>
        <v>13</v>
      </c>
      <c r="E8" s="404" t="s">
        <v>421</v>
      </c>
      <c r="F8" s="405" cm="1">
        <f t="array" ref="F8">_xlfn._xlws.FILTER(Table1[CY 2023],(Table1[Contractor]="CVWD Fallowing"))</f>
        <v>0</v>
      </c>
      <c r="G8" s="405" cm="1">
        <f t="array" ref="G8">_xlfn._xlws.FILTER(Table1[CY 2024],(Table1[Contractor]="CVWD Fallowing"))</f>
        <v>725</v>
      </c>
      <c r="H8" s="405" cm="1">
        <f t="array" ref="H8">_xlfn._xlws.FILTER(Table1[CY 2025],(Table1[Contractor]="CVWD Fallowing"))</f>
        <v>3889</v>
      </c>
      <c r="I8" s="405" cm="1">
        <f t="array" ref="I8">_xlfn._xlws.FILTER(Table1[CY 2026],(Table1[Contractor]="CVWD Fallowing"))</f>
        <v>6511</v>
      </c>
      <c r="J8" s="406"/>
      <c r="K8" s="406">
        <f t="shared" si="2"/>
        <v>11125</v>
      </c>
      <c r="W8" s="571"/>
      <c r="X8" s="480" t="s">
        <v>464</v>
      </c>
      <c r="Y8" s="481" cm="1">
        <f t="array" ref="Y8">_xlfn._xlws.FILTER(Table1[CY 2023],(Table1[Contractor]="GM Gabrych/Matador"))</f>
        <v>3240</v>
      </c>
      <c r="Z8" s="481" cm="1">
        <f t="array" ref="Z8">_xlfn._xlws.FILTER(Table1[CY 2024],(Table1[Contractor]="GM Gabrych/Matador"))</f>
        <v>3240</v>
      </c>
      <c r="AA8" s="481" cm="1">
        <f t="array" ref="AA8">_xlfn._xlws.FILTER(Table1[CY 2025],(Table1[Contractor]="GM Gabrych/Matador"))</f>
        <v>3240</v>
      </c>
      <c r="AB8" s="481" cm="1">
        <f t="array" ref="AB8">_xlfn._xlws.FILTER(Table1[CY 2026],(Table1[Contractor]="GM Gabrych/Matador"))</f>
        <v>3240</v>
      </c>
      <c r="AC8" s="495">
        <f t="shared" si="0"/>
        <v>12960</v>
      </c>
    </row>
    <row r="9" spans="1:29" x14ac:dyDescent="0.25">
      <c r="A9" s="433">
        <f t="shared" si="1"/>
        <v>6</v>
      </c>
      <c r="E9" s="404" t="s">
        <v>85</v>
      </c>
      <c r="F9" s="405" cm="1">
        <f t="array" ref="F9">_xlfn._xlws.FILTER(Table1[CY 2023],(Table1[Contractor]="GRIC"))</f>
        <v>91319</v>
      </c>
      <c r="G9" s="406" cm="1">
        <f t="array" ref="G9">_xlfn._xlws.FILTER(Table1[CY 2024],(Table1[Contractor]="GRIC"))</f>
        <v>125000</v>
      </c>
      <c r="H9" s="406" cm="1">
        <f t="array" ref="H9">_xlfn._xlws.FILTER(Table1[CY 2025],(Table1[Contractor]="GRIC"))</f>
        <v>119561</v>
      </c>
      <c r="I9" s="405" cm="1">
        <f t="array" ref="I9">_xlfn._xlws.FILTER(Table1[CY 2026],(Table1[Contractor]="GRIC"))</f>
        <v>75363</v>
      </c>
      <c r="J9" s="406"/>
      <c r="K9" s="406">
        <f t="shared" si="2"/>
        <v>411243</v>
      </c>
      <c r="W9" s="571"/>
      <c r="X9" s="476" t="s">
        <v>465</v>
      </c>
      <c r="Y9" s="477" cm="1">
        <f t="array" ref="Y9">_xlfn._xlws.FILTER(Table1[CY 2023],(Table1[Contractor]="GRIC"))</f>
        <v>91319</v>
      </c>
      <c r="Z9" s="477" cm="1">
        <f t="array" ref="Z9">_xlfn._xlws.FILTER(Table1[CY 2024],(Table1[Contractor]="GRIC"))</f>
        <v>125000</v>
      </c>
      <c r="AA9" s="477" cm="1">
        <f t="array" ref="AA9">_xlfn._xlws.FILTER(Table1[CY 2025],(Table1[Contractor]="GRIC"))</f>
        <v>119561</v>
      </c>
      <c r="AB9" s="477" cm="1">
        <f t="array" ref="AB9">_xlfn._xlws.FILTER(Table1[CY 2026],(Table1[Contractor]="GRIC"))</f>
        <v>75363</v>
      </c>
      <c r="AC9" s="494">
        <f t="shared" si="0"/>
        <v>411243</v>
      </c>
    </row>
    <row r="10" spans="1:29" x14ac:dyDescent="0.25">
      <c r="A10" s="433">
        <f t="shared" si="1"/>
        <v>3</v>
      </c>
      <c r="E10" s="408" t="s">
        <v>389</v>
      </c>
      <c r="F10" s="405" cm="1">
        <f t="array" ref="F10">_xlfn._xlws.FILTER(Table1[CY 2023],(Table1[Contractor]="CVIDD"))</f>
        <v>1682</v>
      </c>
      <c r="G10" s="405" cm="1">
        <f t="array" ref="G10">_xlfn._xlws.FILTER(Table1[CY 2024],(Table1[Contractor]="CVIDD"))</f>
        <v>2328</v>
      </c>
      <c r="H10" s="405" cm="1">
        <f t="array" ref="H10">_xlfn._xlws.FILTER(Table1[CY 2025],(Table1[Contractor]="CVIDD"))</f>
        <v>2328</v>
      </c>
      <c r="I10" s="405" cm="1">
        <f t="array" ref="I10">_xlfn._xlws.FILTER(Table1[CY 2026],(Table1[Contractor]="CVIDD"))</f>
        <v>2329</v>
      </c>
      <c r="J10" s="406"/>
      <c r="K10" s="406">
        <f t="shared" si="2"/>
        <v>8667</v>
      </c>
      <c r="W10" s="571"/>
      <c r="X10" s="480" t="s">
        <v>466</v>
      </c>
      <c r="Y10" s="481" cm="1">
        <f t="array" ref="Y10">_xlfn._xlws.FILTER(Table1[CY 2023],(Table1[Contractor]="Hopi"))</f>
        <v>2679</v>
      </c>
      <c r="Z10" s="481" cm="1">
        <f t="array" ref="Z10">_xlfn._xlws.FILTER(Table1[CY 2024],(Table1[Contractor]="Hopi"))</f>
        <v>3059</v>
      </c>
      <c r="AA10" s="481" cm="1">
        <f t="array" ref="AA10">_xlfn._xlws.FILTER(Table1[CY 2025],(Table1[Contractor]="Hopi"))</f>
        <v>3059</v>
      </c>
      <c r="AB10" s="481" cm="1">
        <f t="array" ref="AB10">_xlfn._xlws.FILTER(Table1[CY 2026],(Table1[Contractor]="Hopi"))</f>
        <v>3059</v>
      </c>
      <c r="AC10" s="495">
        <f t="shared" si="0"/>
        <v>11856</v>
      </c>
    </row>
    <row r="11" spans="1:29" x14ac:dyDescent="0.25">
      <c r="A11" s="433">
        <f t="shared" si="1"/>
        <v>5</v>
      </c>
      <c r="E11" s="408" t="s">
        <v>422</v>
      </c>
      <c r="F11" s="405" cm="1">
        <f t="array" ref="F11">_xlfn._xlws.FILTER(Table1[CY 2023],(Table1[Contractor]="GM Gabrych/Matador"))</f>
        <v>3240</v>
      </c>
      <c r="G11" s="406" cm="1">
        <f t="array" ref="G11">_xlfn._xlws.FILTER(Table1[CY 2024],(Table1[Contractor]="GM Gabrych/Matador"))</f>
        <v>3240</v>
      </c>
      <c r="H11" s="406" cm="1">
        <f t="array" ref="H11">_xlfn._xlws.FILTER(Table1[CY 2025],(Table1[Contractor]="GM Gabrych/Matador"))</f>
        <v>3240</v>
      </c>
      <c r="I11" s="405" cm="1">
        <f t="array" ref="I11">_xlfn._xlws.FILTER(Table1[CY 2026],(Table1[Contractor]="GM Gabrych/Matador"))</f>
        <v>3240</v>
      </c>
      <c r="J11" s="406"/>
      <c r="K11" s="406">
        <f t="shared" si="2"/>
        <v>12960</v>
      </c>
      <c r="W11" s="571"/>
      <c r="X11" s="476" t="s">
        <v>467</v>
      </c>
      <c r="Y11" s="477" cm="1">
        <f t="array" ref="Y11">_xlfn._xlws.FILTER(Table1[CY 2023],(Table1[Contractor]="MVIDD"))</f>
        <v>12812</v>
      </c>
      <c r="Z11" s="477" cm="1">
        <f t="array" ref="Z11">_xlfn._xlws.FILTER(Table1[CY 2024],(Table1[Contractor]="MVIDD"))</f>
        <v>13293</v>
      </c>
      <c r="AA11" s="477" cm="1">
        <f t="array" ref="AA11">_xlfn._xlws.FILTER(Table1[CY 2025],(Table1[Contractor]="MVIDD"))</f>
        <v>13694</v>
      </c>
      <c r="AB11" s="477" cm="1">
        <f t="array" ref="AB11">_xlfn._xlws.FILTER(Table1[CY 2026],(Table1[Contractor]="MVIDD"))</f>
        <v>14184</v>
      </c>
      <c r="AC11" s="494">
        <f t="shared" si="0"/>
        <v>53983</v>
      </c>
    </row>
    <row r="12" spans="1:29" x14ac:dyDescent="0.25">
      <c r="A12" s="433">
        <f t="shared" si="1"/>
        <v>2</v>
      </c>
      <c r="E12" s="408" t="s">
        <v>423</v>
      </c>
      <c r="F12" s="405" cm="1">
        <f t="array" ref="F12">_xlfn._xlws.FILTER(Table1[CY 2023],(Table1[Contractor]="Cathcart"))</f>
        <v>57</v>
      </c>
      <c r="G12" s="406" cm="1">
        <f t="array" ref="G12">_xlfn._xlws.FILTER(Table1[CY 2024],(Table1[Contractor]="Cathcart"))</f>
        <v>60.5</v>
      </c>
      <c r="H12" s="406" cm="1">
        <f t="array" ref="H12">_xlfn._xlws.FILTER(Table1[CY 2025],(Table1[Contractor]="Cathcart"))</f>
        <v>60.5</v>
      </c>
      <c r="I12" s="405" cm="1">
        <f t="array" ref="I12">_xlfn._xlws.FILTER(Table1[CY 2026],(Table1[Contractor]="Cathcart"))</f>
        <v>61</v>
      </c>
      <c r="J12" s="406"/>
      <c r="K12" s="406">
        <f t="shared" si="2"/>
        <v>239</v>
      </c>
      <c r="W12" s="571"/>
      <c r="X12" s="480" t="s">
        <v>468</v>
      </c>
      <c r="Y12" s="481" cm="1">
        <f t="array" ref="Y12">_xlfn._xlws.FILTER(Table1[CY 2023],(Table1[Contractor]="SCAT"))</f>
        <v>23804</v>
      </c>
      <c r="Z12" s="481" cm="1">
        <f t="array" ref="Z12">_xlfn._xlws.FILTER(Table1[CY 2024],(Table1[Contractor]="SCAT"))</f>
        <v>23451</v>
      </c>
      <c r="AA12" s="481" cm="1">
        <f t="array" ref="AA12">_xlfn._xlws.FILTER(Table1[CY 2025],(Table1[Contractor]="SCAT"))</f>
        <v>23451</v>
      </c>
      <c r="AB12" s="481" cm="1">
        <f t="array" ref="AB12">_xlfn._xlws.FILTER(Table1[CY 2026],(Table1[Contractor]="SCAT"))</f>
        <v>23451</v>
      </c>
      <c r="AC12" s="495">
        <f t="shared" si="0"/>
        <v>94157</v>
      </c>
    </row>
    <row r="13" spans="1:29" ht="13.8" thickBot="1" x14ac:dyDescent="0.3">
      <c r="A13" s="433">
        <f t="shared" si="1"/>
        <v>10</v>
      </c>
      <c r="E13" s="408" t="s">
        <v>255</v>
      </c>
      <c r="F13" s="405" cm="1">
        <f t="array" ref="F13">_xlfn._xlws.FILTER(Table1[CY 2023],(Table1[Contractor]="YMIDD"))</f>
        <v>21556</v>
      </c>
      <c r="G13" s="405" cm="1">
        <f t="array" ref="G13">_xlfn._xlws.FILTER(Table1[CY 2024],(Table1[Contractor]="YMIDD"))</f>
        <v>21657</v>
      </c>
      <c r="H13" s="405" cm="1">
        <f t="array" ref="H13">_xlfn._xlws.FILTER(Table1[CY 2025],(Table1[Contractor]="YMIDD"))</f>
        <v>23615</v>
      </c>
      <c r="I13" s="405" cm="1">
        <f t="array" ref="I13">_xlfn._xlws.FILTER(Table1[CY 2026],(Table1[Contractor]="YMIDD"))</f>
        <v>23893</v>
      </c>
      <c r="J13" s="406"/>
      <c r="K13" s="406">
        <f t="shared" si="2"/>
        <v>90721</v>
      </c>
      <c r="W13" s="572"/>
      <c r="X13" s="478" t="s">
        <v>469</v>
      </c>
      <c r="Y13" s="479" cm="1">
        <f t="array" ref="Y13">_xlfn._xlws.FILTER(Table1[CY 2023],(Table1[Contractor]="YMIDD"))</f>
        <v>21556</v>
      </c>
      <c r="Z13" s="479" cm="1">
        <f t="array" ref="Z13">_xlfn._xlws.FILTER(Table1[CY 2024],(Table1[Contractor]="YMIDD"))</f>
        <v>21657</v>
      </c>
      <c r="AA13" s="479" cm="1">
        <f t="array" ref="AA13">_xlfn._xlws.FILTER(Table1[CY 2025],(Table1[Contractor]="YMIDD"))</f>
        <v>23615</v>
      </c>
      <c r="AB13" s="479" cm="1">
        <f t="array" ref="AB13">_xlfn._xlws.FILTER(Table1[CY 2026],(Table1[Contractor]="YMIDD"))</f>
        <v>23893</v>
      </c>
      <c r="AC13" s="496">
        <f t="shared" si="0"/>
        <v>90721</v>
      </c>
    </row>
    <row r="14" spans="1:29" ht="13.35" customHeight="1" x14ac:dyDescent="0.25">
      <c r="A14" s="433">
        <f t="shared" si="1"/>
        <v>8</v>
      </c>
      <c r="E14" s="408" t="s">
        <v>251</v>
      </c>
      <c r="F14" s="405" cm="1">
        <f t="array" ref="F14">_xlfn._xlws.FILTER(Table1[CY 2023],(Table1[Contractor]="MVIDD"))</f>
        <v>12812</v>
      </c>
      <c r="G14" s="405" cm="1">
        <f t="array" ref="G14">_xlfn._xlws.FILTER(Table1[CY 2024],(Table1[Contractor]="MVIDD"))</f>
        <v>13293</v>
      </c>
      <c r="H14" s="405" cm="1">
        <f t="array" ref="H14">_xlfn._xlws.FILTER(Table1[CY 2025],(Table1[Contractor]="MVIDD"))</f>
        <v>13694</v>
      </c>
      <c r="I14" s="405" cm="1">
        <f t="array" ref="I14">_xlfn._xlws.FILTER(Table1[CY 2026],(Table1[Contractor]="MVIDD"))</f>
        <v>14184</v>
      </c>
      <c r="J14" s="406"/>
      <c r="K14" s="406">
        <f t="shared" si="2"/>
        <v>53983</v>
      </c>
      <c r="W14" s="584" t="s">
        <v>126</v>
      </c>
      <c r="X14" s="482" t="s">
        <v>470</v>
      </c>
      <c r="Y14" s="483" cm="1">
        <f t="array" ref="Y14">_xlfn._xlws.FILTER(Table1[CY 2023],(Table1[Contractor]="CVWD Grd Wtr Replnt"))</f>
        <v>35000</v>
      </c>
      <c r="Z14" s="483" cm="1">
        <f t="array" ref="Z14">_xlfn._xlws.FILTER(Table1[CY 2024],(Table1[Contractor]="CVWD Grd Wtr Replnt"))</f>
        <v>35000</v>
      </c>
      <c r="AA14" s="483" cm="1">
        <f t="array" ref="AA14">_xlfn._xlws.FILTER(Table1[CY 2025],(Table1[Contractor]="CVWD Grd Wtr Replnt"))</f>
        <v>35000</v>
      </c>
      <c r="AB14" s="483" cm="1">
        <f t="array" ref="AB14">_xlfn._xlws.FILTER(Table1[CY 2026],(Table1[Contractor]="CVWD Grd Wtr Replnt"))</f>
        <v>35000</v>
      </c>
      <c r="AC14" s="497">
        <f t="shared" si="0"/>
        <v>140000</v>
      </c>
    </row>
    <row r="15" spans="1:29" ht="14.85" customHeight="1" x14ac:dyDescent="0.25">
      <c r="A15" s="433">
        <f t="shared" si="1"/>
        <v>7</v>
      </c>
      <c r="E15" s="404" t="s">
        <v>424</v>
      </c>
      <c r="F15" s="405" cm="1">
        <f t="array" ref="F15">_xlfn._xlws.FILTER(Table1[CY 2023],(Table1[Contractor]="Hopi"))</f>
        <v>2679</v>
      </c>
      <c r="G15" s="405" cm="1">
        <f t="array" ref="G15">_xlfn._xlws.FILTER(Table1[CY 2024],(Table1[Contractor]="Hopi"))</f>
        <v>3059</v>
      </c>
      <c r="H15" s="405" cm="1">
        <f t="array" ref="H15">_xlfn._xlws.FILTER(Table1[CY 2025],(Table1[Contractor]="Hopi"))</f>
        <v>3059</v>
      </c>
      <c r="I15" s="405" cm="1">
        <f t="array" ref="I15">_xlfn._xlws.FILTER(Table1[CY 2026],(Table1[Contractor]="Hopi"))</f>
        <v>3059</v>
      </c>
      <c r="J15" s="406"/>
      <c r="K15" s="406">
        <f t="shared" si="2"/>
        <v>11856</v>
      </c>
      <c r="W15" s="585"/>
      <c r="X15" s="476" t="s">
        <v>472</v>
      </c>
      <c r="Y15" s="477" cm="1">
        <f t="array" ref="Y15">_xlfn._xlws.FILTER(Table1[CY 2023],(Table1[Contractor]="CVWD Fallowing"))</f>
        <v>0</v>
      </c>
      <c r="Z15" s="477" cm="1">
        <f t="array" ref="Z15">_xlfn._xlws.FILTER(Table1[CY 2024],(Table1[Contractor]="CVWD Fallowing"))</f>
        <v>725</v>
      </c>
      <c r="AA15" s="477" cm="1">
        <f t="array" ref="AA15">_xlfn._xlws.FILTER(Table1[CY 2025],(Table1[Contractor]="CVWD Fallowing"))</f>
        <v>3889</v>
      </c>
      <c r="AB15" s="477" cm="1">
        <f t="array" ref="AB15">_xlfn._xlws.FILTER(Table1[CY 2026],(Table1[Contractor]="CVWD Fallowing"))</f>
        <v>6511</v>
      </c>
      <c r="AC15" s="494">
        <f t="shared" si="0"/>
        <v>11125</v>
      </c>
    </row>
    <row r="16" spans="1:29" ht="14.85" customHeight="1" x14ac:dyDescent="0.25">
      <c r="A16" s="433">
        <f t="shared" si="1"/>
        <v>14</v>
      </c>
      <c r="E16" s="404" t="s">
        <v>273</v>
      </c>
      <c r="F16" s="405" cm="1">
        <f t="array" ref="F16">_xlfn._xlws.FILTER(Table1[CY 2023],(Table1[Contractor]="IID 2023-2026"))</f>
        <v>106111</v>
      </c>
      <c r="G16" s="406" cm="1">
        <f t="array" ref="G16">_xlfn._xlws.FILTER(Table1[CY 2024],(Table1[Contractor]="IID 2023-2026"))</f>
        <v>257640</v>
      </c>
      <c r="H16" s="406" cm="1">
        <f t="array" ref="H16">_xlfn._xlws.FILTER(Table1[CY 2025],(Table1[Contractor]="IID 2023-2026"))</f>
        <v>250000</v>
      </c>
      <c r="I16" s="405" cm="1">
        <f t="array" ref="I16">_xlfn._xlws.FILTER(Table1[CY 2026],(Table1[Contractor]="IID 2023-2026"))</f>
        <v>192360</v>
      </c>
      <c r="J16" s="406"/>
      <c r="K16" s="406">
        <f t="shared" si="2"/>
        <v>806111</v>
      </c>
      <c r="W16" s="585"/>
      <c r="X16" s="480" t="s">
        <v>471</v>
      </c>
      <c r="Y16" s="481" cm="1">
        <f t="array" ref="Y16">_xlfn._xlws.FILTER(Table1[CY 2023],(Table1[Contractor]="IID 2023-2026"))</f>
        <v>106111</v>
      </c>
      <c r="Z16" s="481" cm="1">
        <f t="array" ref="Z16">_xlfn._xlws.FILTER(Table1[CY 2024],(Table1[Contractor]="IID 2023-2026"))</f>
        <v>257640</v>
      </c>
      <c r="AA16" s="481" cm="1">
        <f t="array" ref="AA16">_xlfn._xlws.FILTER(Table1[CY 2025],(Table1[Contractor]="IID 2023-2026"))</f>
        <v>250000</v>
      </c>
      <c r="AB16" s="481" cm="1">
        <f t="array" ref="AB16">_xlfn._xlws.FILTER(Table1[CY 2026],(Table1[Contractor]="IID 2023-2026"))</f>
        <v>192360</v>
      </c>
      <c r="AC16" s="495">
        <f t="shared" si="0"/>
        <v>806111</v>
      </c>
    </row>
    <row r="17" spans="1:29" ht="14.85" customHeight="1" x14ac:dyDescent="0.25">
      <c r="A17" s="433">
        <f t="shared" si="1"/>
        <v>16</v>
      </c>
      <c r="E17" s="404" t="s">
        <v>425</v>
      </c>
      <c r="F17" s="405" cm="1">
        <f t="array" ref="F17">_xlfn._xlws.FILTER(Table1[CY 2023],(Table1[Contractor]="Quechan"))</f>
        <v>13000</v>
      </c>
      <c r="G17" s="405" cm="1">
        <f t="array" ref="G17">_xlfn._xlws.FILTER(Table1[CY 2024],(Table1[Contractor]="Quechan"))</f>
        <v>13000</v>
      </c>
      <c r="H17" s="405" cm="1">
        <f t="array" ref="H17">_xlfn._xlws.FILTER(Table1[CY 2025],(Table1[Contractor]="Quechan"))</f>
        <v>13000</v>
      </c>
      <c r="I17" s="405" cm="1">
        <f t="array" ref="I17">_xlfn._xlws.FILTER(Table1[CY 2026],(Table1[Contractor]="Quechan"))</f>
        <v>13000</v>
      </c>
      <c r="J17" s="406"/>
      <c r="K17" s="406">
        <f t="shared" si="2"/>
        <v>52000</v>
      </c>
      <c r="W17" s="585"/>
      <c r="X17" s="476" t="s">
        <v>473</v>
      </c>
      <c r="Y17" s="477">
        <v>450000</v>
      </c>
      <c r="Z17" s="477">
        <v>0</v>
      </c>
      <c r="AA17" s="477">
        <v>0</v>
      </c>
      <c r="AB17" s="477">
        <v>0</v>
      </c>
      <c r="AC17" s="494">
        <f t="shared" si="0"/>
        <v>450000</v>
      </c>
    </row>
    <row r="18" spans="1:29" ht="14.85" customHeight="1" x14ac:dyDescent="0.25">
      <c r="A18" s="433">
        <f t="shared" si="1"/>
        <v>15</v>
      </c>
      <c r="E18" s="404" t="s">
        <v>426</v>
      </c>
      <c r="F18" s="405" cm="1">
        <f t="array" ref="F18">_xlfn._xlws.FILTER(Table1[CY 2023],(Table1[Contractor]="PVID"))</f>
        <v>71507</v>
      </c>
      <c r="G18" s="406" cm="1">
        <f t="array" ref="G18">_xlfn._xlws.FILTER(Table1[CY 2024],(Table1[Contractor]="PVID"))</f>
        <v>117021</v>
      </c>
      <c r="H18" s="406" cm="1">
        <f t="array" ref="H18">_xlfn._xlws.FILTER(Table1[CY 2025],(Table1[Contractor]="PVID"))</f>
        <v>117021</v>
      </c>
      <c r="I18" s="406" cm="1">
        <f t="array" ref="I18">_xlfn._xlws.FILTER(Table1[CY 2026],(Table1[Contractor]="PVID"))</f>
        <v>119338</v>
      </c>
      <c r="J18" s="406"/>
      <c r="K18" s="406">
        <f t="shared" si="2"/>
        <v>424887</v>
      </c>
      <c r="W18" s="585"/>
      <c r="X18" s="480" t="s">
        <v>474</v>
      </c>
      <c r="Y18" s="481">
        <v>25066</v>
      </c>
      <c r="Z18" s="481">
        <v>0</v>
      </c>
      <c r="AA18" s="481">
        <v>0</v>
      </c>
      <c r="AB18" s="481">
        <v>0</v>
      </c>
      <c r="AC18" s="495">
        <f t="shared" si="0"/>
        <v>25066</v>
      </c>
    </row>
    <row r="19" spans="1:29" ht="14.85" customHeight="1" x14ac:dyDescent="0.25">
      <c r="A19" s="433" t="e">
        <f t="shared" si="1"/>
        <v>#N/A</v>
      </c>
      <c r="E19" s="404" t="s">
        <v>390</v>
      </c>
      <c r="F19" s="405">
        <v>201</v>
      </c>
      <c r="G19" s="406">
        <v>545</v>
      </c>
      <c r="H19" s="407">
        <v>545</v>
      </c>
      <c r="I19" s="414">
        <v>545</v>
      </c>
      <c r="J19" s="407"/>
      <c r="K19" s="406">
        <f t="shared" si="2"/>
        <v>1836</v>
      </c>
      <c r="L19" s="436" t="s">
        <v>442</v>
      </c>
      <c r="W19" s="585"/>
      <c r="X19" s="476" t="s">
        <v>475</v>
      </c>
      <c r="Y19" s="477" cm="1">
        <f t="array" ref="Y19">_xlfn._xlws.FILTER(Table1[CY 2023],(Table1[Contractor]="PVID"))</f>
        <v>71507</v>
      </c>
      <c r="Z19" s="477" cm="1">
        <f t="array" ref="Z19">_xlfn._xlws.FILTER(Table1[CY 2024],(Table1[Contractor]="PVID"))</f>
        <v>117021</v>
      </c>
      <c r="AA19" s="477" cm="1">
        <f t="array" ref="AA19">_xlfn._xlws.FILTER(Table1[CY 2025],(Table1[Contractor]="PVID"))</f>
        <v>117021</v>
      </c>
      <c r="AB19" s="477" cm="1">
        <f t="array" ref="AB19">_xlfn._xlws.FILTER(Table1[CY 2026],(Table1[Contractor]="PVID"))</f>
        <v>119338</v>
      </c>
      <c r="AC19" s="494">
        <f t="shared" si="0"/>
        <v>424887</v>
      </c>
    </row>
    <row r="20" spans="1:29" ht="14.85" customHeight="1" x14ac:dyDescent="0.25">
      <c r="A20" s="433" t="e">
        <f t="shared" si="1"/>
        <v>#N/A</v>
      </c>
      <c r="E20" s="409" t="s">
        <v>427</v>
      </c>
      <c r="F20" s="410" cm="1">
        <f t="array" ref="F20">_xlfn._xlws.FILTER(Table1[CY 2023],(Table1[Contractor]="242 Wellfield"))</f>
        <v>7007</v>
      </c>
      <c r="G20" s="411" cm="1">
        <f t="array" ref="G20">_xlfn._xlws.FILTER(Table1[CY 2024],(Table1[Contractor]="242 Wellfield"))</f>
        <v>22169</v>
      </c>
      <c r="H20" s="411" cm="1">
        <f t="array" ref="H20">_xlfn._xlws.FILTER(Table1[CY 2025],(Table1[Contractor]="242 Wellfield"))</f>
        <v>32000</v>
      </c>
      <c r="I20" s="411" cm="1">
        <f t="array" ref="I20">_xlfn._xlws.FILTER(Table1[CY 2026],(Table1[Contractor]="242 Wellfield"))</f>
        <v>50000</v>
      </c>
      <c r="J20" s="411"/>
      <c r="K20" s="411">
        <f t="shared" si="2"/>
        <v>111176</v>
      </c>
      <c r="L20" s="436" t="s">
        <v>442</v>
      </c>
      <c r="W20" s="585"/>
      <c r="X20" s="480" t="s">
        <v>485</v>
      </c>
      <c r="Y20" s="481" cm="1">
        <f t="array" ref="Y20">_xlfn._xlws.FILTER(Table1[CY 2023],(Table1[Contractor]="Bard"))</f>
        <v>0</v>
      </c>
      <c r="Z20" s="481" cm="1">
        <f t="array" ref="Z20">_xlfn._xlws.FILTER(Table1[CY 2024],(Table1[Contractor]="Bard"))</f>
        <v>5700</v>
      </c>
      <c r="AA20" s="481" cm="1">
        <f t="array" ref="AA20">_xlfn._xlws.FILTER(Table1[CY 2025],(Table1[Contractor]="Bard"))</f>
        <v>9286</v>
      </c>
      <c r="AB20" s="481" cm="1">
        <f t="array" ref="AB20">_xlfn._xlws.FILTER(Table1[CY 2026],(Table1[Contractor]="Bard"))</f>
        <v>11400</v>
      </c>
      <c r="AC20" s="495">
        <f t="shared" si="0"/>
        <v>26386</v>
      </c>
    </row>
    <row r="21" spans="1:29" ht="15" customHeight="1" thickBot="1" x14ac:dyDescent="0.3">
      <c r="E21" s="409" t="s">
        <v>392</v>
      </c>
      <c r="F21" s="410">
        <f>SUM(F4:F20)</f>
        <v>545308</v>
      </c>
      <c r="G21" s="410">
        <f>SUM(G4:G20)</f>
        <v>775521.5</v>
      </c>
      <c r="H21" s="410">
        <f>SUM(H4:H20)</f>
        <v>779899.5</v>
      </c>
      <c r="I21" s="410">
        <f>SUM(I4:I20)</f>
        <v>675067</v>
      </c>
      <c r="J21" s="410"/>
      <c r="K21" s="410">
        <f>SUM(K4:K20)</f>
        <v>2775796</v>
      </c>
      <c r="W21" s="586"/>
      <c r="X21" s="487" t="s">
        <v>476</v>
      </c>
      <c r="Y21" s="488" cm="1">
        <f t="array" ref="Y21">_xlfn._xlws.FILTER(Table1[CY 2023],(Table1[Contractor]="Quechan"))</f>
        <v>13000</v>
      </c>
      <c r="Z21" s="488" cm="1">
        <f t="array" ref="Z21">_xlfn._xlws.FILTER(Table1[CY 2024],(Table1[Contractor]="Quechan"))</f>
        <v>13000</v>
      </c>
      <c r="AA21" s="488" cm="1">
        <f t="array" ref="AA21">_xlfn._xlws.FILTER(Table1[CY 2025],(Table1[Contractor]="Quechan"))</f>
        <v>13000</v>
      </c>
      <c r="AB21" s="488" cm="1">
        <f t="array" ref="AB21">_xlfn._xlws.FILTER(Table1[CY 2026],(Table1[Contractor]="Quechan"))</f>
        <v>13000</v>
      </c>
      <c r="AC21" s="498">
        <f t="shared" si="0"/>
        <v>52000</v>
      </c>
    </row>
    <row r="22" spans="1:29" x14ac:dyDescent="0.25">
      <c r="E22" s="409" t="s">
        <v>391</v>
      </c>
      <c r="F22" s="410">
        <f>F21</f>
        <v>545308</v>
      </c>
      <c r="G22" s="411">
        <f>F22+G21</f>
        <v>1320829.5</v>
      </c>
      <c r="H22" s="411">
        <f>G22+H21</f>
        <v>2100729</v>
      </c>
      <c r="I22" s="411">
        <f>H22+I21</f>
        <v>2775796</v>
      </c>
      <c r="J22" s="411"/>
      <c r="K22" s="412"/>
      <c r="W22" s="573" t="s">
        <v>127</v>
      </c>
      <c r="X22" s="485" t="s">
        <v>478</v>
      </c>
      <c r="Y22" s="486">
        <v>88156</v>
      </c>
      <c r="Z22" s="486">
        <v>74572</v>
      </c>
      <c r="AA22" s="486">
        <v>82000</v>
      </c>
      <c r="AB22" s="486">
        <v>86000</v>
      </c>
      <c r="AC22" s="499">
        <f t="shared" si="0"/>
        <v>330728</v>
      </c>
    </row>
    <row r="23" spans="1:29" ht="13.8" thickBot="1" x14ac:dyDescent="0.3">
      <c r="W23" s="574"/>
      <c r="X23" s="487" t="s">
        <v>477</v>
      </c>
      <c r="Y23" s="488">
        <v>36075</v>
      </c>
      <c r="Z23" s="488">
        <v>34375</v>
      </c>
      <c r="AA23" s="488">
        <v>35000</v>
      </c>
      <c r="AB23" s="488">
        <v>35000</v>
      </c>
      <c r="AC23" s="498">
        <f t="shared" si="0"/>
        <v>140450</v>
      </c>
    </row>
    <row r="24" spans="1:29" x14ac:dyDescent="0.25">
      <c r="G24" s="437"/>
      <c r="W24" s="575"/>
      <c r="X24" s="489" t="s">
        <v>437</v>
      </c>
      <c r="Y24" s="490">
        <f>SUM(Y3:Y23)</f>
        <v>1179173</v>
      </c>
      <c r="Z24" s="490">
        <f>SUM(Z3:Z23)</f>
        <v>867454.5</v>
      </c>
      <c r="AA24" s="490">
        <f>SUM(AA3:AA23)</f>
        <v>873640.5</v>
      </c>
      <c r="AB24" s="490">
        <f>SUM(AB3:AB23)</f>
        <v>756922</v>
      </c>
      <c r="AC24" s="500">
        <f>SUM(AC3:AC23)</f>
        <v>3677190</v>
      </c>
    </row>
    <row r="25" spans="1:29" ht="15" thickBot="1" x14ac:dyDescent="0.3">
      <c r="N25" s="438"/>
      <c r="O25" s="438"/>
      <c r="P25" s="438"/>
      <c r="W25" s="576"/>
      <c r="X25" s="487" t="s">
        <v>391</v>
      </c>
      <c r="Y25" s="488">
        <f>Y24</f>
        <v>1179173</v>
      </c>
      <c r="Z25" s="488">
        <f>Y25+Z24</f>
        <v>2046627.5</v>
      </c>
      <c r="AA25" s="488">
        <f>Z25+AA24</f>
        <v>2920268</v>
      </c>
      <c r="AB25" s="488">
        <f>AA25+AB24</f>
        <v>3677190</v>
      </c>
      <c r="AC25" s="498"/>
    </row>
    <row r="26" spans="1:29" ht="14.4" x14ac:dyDescent="0.25">
      <c r="N26" s="438"/>
      <c r="O26" s="438"/>
      <c r="P26" s="438"/>
      <c r="W26" s="434"/>
    </row>
    <row r="27" spans="1:29" x14ac:dyDescent="0.25">
      <c r="B27" s="433" t="s">
        <v>434</v>
      </c>
      <c r="C27" s="433" t="s">
        <v>200</v>
      </c>
      <c r="D27" s="434" t="s">
        <v>429</v>
      </c>
      <c r="E27" s="420" t="s">
        <v>438</v>
      </c>
      <c r="F27" s="420">
        <v>2023</v>
      </c>
      <c r="G27" s="420">
        <v>2024</v>
      </c>
      <c r="H27" s="420">
        <v>2025</v>
      </c>
      <c r="I27" s="420">
        <v>2026</v>
      </c>
      <c r="J27" s="420"/>
      <c r="K27" s="420" t="s">
        <v>174</v>
      </c>
      <c r="W27" s="434"/>
    </row>
    <row r="28" spans="1:29" x14ac:dyDescent="0.25">
      <c r="B28" s="433" t="s">
        <v>435</v>
      </c>
      <c r="C28" s="433" t="s">
        <v>128</v>
      </c>
      <c r="D28" s="434" t="s">
        <v>430</v>
      </c>
      <c r="E28" s="418" t="s">
        <v>385</v>
      </c>
      <c r="F28" s="419">
        <v>141400</v>
      </c>
      <c r="G28" s="419">
        <v>129400</v>
      </c>
      <c r="H28" s="419">
        <v>128800</v>
      </c>
      <c r="I28" s="419">
        <v>2400</v>
      </c>
      <c r="J28" s="419"/>
      <c r="K28" s="419">
        <f t="shared" ref="K28:K47" si="3">SUM(F28:I28)</f>
        <v>402000</v>
      </c>
    </row>
    <row r="29" spans="1:29" x14ac:dyDescent="0.25">
      <c r="B29" s="433" t="s">
        <v>435</v>
      </c>
      <c r="C29" s="433" t="s">
        <v>128</v>
      </c>
      <c r="D29" s="434" t="s">
        <v>430</v>
      </c>
      <c r="E29" s="432" t="s">
        <v>423</v>
      </c>
      <c r="F29" s="419">
        <v>57</v>
      </c>
      <c r="G29" s="419">
        <v>60.5</v>
      </c>
      <c r="H29" s="419">
        <v>60.5</v>
      </c>
      <c r="I29" s="419">
        <v>0</v>
      </c>
      <c r="J29" s="419"/>
      <c r="K29" s="419">
        <f t="shared" si="3"/>
        <v>178</v>
      </c>
      <c r="M29" s="433">
        <f>42+163</f>
        <v>205</v>
      </c>
      <c r="Z29" s="437">
        <f>Z24-Z16</f>
        <v>609814.5</v>
      </c>
      <c r="AA29" s="437">
        <f>AA24-AA16</f>
        <v>623640.5</v>
      </c>
      <c r="AB29" s="437">
        <f>AB24-AB16</f>
        <v>564562</v>
      </c>
    </row>
    <row r="30" spans="1:29" x14ac:dyDescent="0.25">
      <c r="B30" s="433" t="s">
        <v>435</v>
      </c>
      <c r="C30" s="433" t="s">
        <v>128</v>
      </c>
      <c r="D30" s="434" t="s">
        <v>430</v>
      </c>
      <c r="E30" s="432" t="s">
        <v>389</v>
      </c>
      <c r="F30" s="419">
        <v>1682</v>
      </c>
      <c r="G30" s="419">
        <v>2328</v>
      </c>
      <c r="H30" s="419">
        <v>2328</v>
      </c>
      <c r="I30" s="419">
        <v>0</v>
      </c>
      <c r="J30" s="419"/>
      <c r="K30" s="419">
        <f t="shared" si="3"/>
        <v>6338</v>
      </c>
    </row>
    <row r="31" spans="1:29" x14ac:dyDescent="0.25">
      <c r="B31" s="433" t="s">
        <v>435</v>
      </c>
      <c r="C31" s="433" t="s">
        <v>128</v>
      </c>
      <c r="D31" s="434" t="s">
        <v>430</v>
      </c>
      <c r="E31" s="418" t="s">
        <v>386</v>
      </c>
      <c r="F31" s="419">
        <v>13933</v>
      </c>
      <c r="G31" s="419">
        <v>13933</v>
      </c>
      <c r="H31" s="419">
        <v>13933</v>
      </c>
      <c r="I31" s="419">
        <v>0</v>
      </c>
      <c r="J31" s="419"/>
      <c r="K31" s="419">
        <f t="shared" si="3"/>
        <v>41799</v>
      </c>
    </row>
    <row r="32" spans="1:29" x14ac:dyDescent="0.25">
      <c r="B32" s="433" t="s">
        <v>435</v>
      </c>
      <c r="C32" s="433" t="s">
        <v>128</v>
      </c>
      <c r="D32" s="434" t="s">
        <v>430</v>
      </c>
      <c r="E32" s="432" t="s">
        <v>422</v>
      </c>
      <c r="F32" s="419">
        <v>3240</v>
      </c>
      <c r="G32" s="419">
        <v>3240</v>
      </c>
      <c r="H32" s="419">
        <v>3240</v>
      </c>
      <c r="I32" s="419">
        <v>0</v>
      </c>
      <c r="J32" s="419"/>
      <c r="K32" s="419">
        <f t="shared" si="3"/>
        <v>9720</v>
      </c>
    </row>
    <row r="33" spans="2:105" x14ac:dyDescent="0.25">
      <c r="B33" s="433" t="s">
        <v>435</v>
      </c>
      <c r="C33" s="433" t="s">
        <v>128</v>
      </c>
      <c r="D33" s="434" t="s">
        <v>430</v>
      </c>
      <c r="E33" s="418" t="s">
        <v>85</v>
      </c>
      <c r="F33" s="419">
        <v>91319</v>
      </c>
      <c r="G33" s="419">
        <v>125000</v>
      </c>
      <c r="H33" s="419">
        <v>125000</v>
      </c>
      <c r="I33" s="419">
        <v>51650</v>
      </c>
      <c r="J33" s="419"/>
      <c r="K33" s="419">
        <f t="shared" si="3"/>
        <v>392969</v>
      </c>
    </row>
    <row r="34" spans="2:105" x14ac:dyDescent="0.25">
      <c r="B34" s="433" t="s">
        <v>435</v>
      </c>
      <c r="C34" s="433" t="s">
        <v>128</v>
      </c>
      <c r="D34" s="434" t="s">
        <v>430</v>
      </c>
      <c r="E34" s="418" t="s">
        <v>424</v>
      </c>
      <c r="F34" s="419">
        <v>2679</v>
      </c>
      <c r="G34" s="419">
        <v>3059</v>
      </c>
      <c r="H34" s="419">
        <v>3059</v>
      </c>
      <c r="I34" s="419">
        <v>0</v>
      </c>
      <c r="J34" s="419"/>
      <c r="K34" s="419">
        <f t="shared" si="3"/>
        <v>8797</v>
      </c>
    </row>
    <row r="35" spans="2:105" x14ac:dyDescent="0.25">
      <c r="B35" s="433" t="s">
        <v>435</v>
      </c>
      <c r="C35" s="433" t="s">
        <v>128</v>
      </c>
      <c r="D35" s="434" t="s">
        <v>430</v>
      </c>
      <c r="E35" s="432" t="s">
        <v>251</v>
      </c>
      <c r="F35" s="419">
        <v>12812</v>
      </c>
      <c r="G35" s="419">
        <v>13441</v>
      </c>
      <c r="H35" s="419">
        <v>13441</v>
      </c>
      <c r="I35" s="419">
        <v>0</v>
      </c>
      <c r="J35" s="419"/>
      <c r="K35" s="419">
        <f t="shared" si="3"/>
        <v>39694</v>
      </c>
    </row>
    <row r="36" spans="2:105" x14ac:dyDescent="0.25">
      <c r="B36" s="433" t="s">
        <v>435</v>
      </c>
      <c r="C36" s="433" t="s">
        <v>128</v>
      </c>
      <c r="D36" s="434" t="s">
        <v>430</v>
      </c>
      <c r="E36" s="418" t="s">
        <v>387</v>
      </c>
      <c r="F36" s="419">
        <v>23804</v>
      </c>
      <c r="G36" s="419">
        <v>23451</v>
      </c>
      <c r="H36" s="419">
        <v>23451</v>
      </c>
      <c r="I36" s="421">
        <v>0</v>
      </c>
      <c r="J36" s="421"/>
      <c r="K36" s="419">
        <f t="shared" si="3"/>
        <v>70706</v>
      </c>
    </row>
    <row r="37" spans="2:105" x14ac:dyDescent="0.25">
      <c r="B37" s="433" t="s">
        <v>435</v>
      </c>
      <c r="C37" s="433" t="s">
        <v>128</v>
      </c>
      <c r="D37" s="434" t="s">
        <v>430</v>
      </c>
      <c r="E37" s="432" t="s">
        <v>255</v>
      </c>
      <c r="F37" s="419">
        <v>21556</v>
      </c>
      <c r="G37" s="419">
        <v>21795</v>
      </c>
      <c r="H37" s="419">
        <v>21795</v>
      </c>
      <c r="I37" s="419">
        <v>0</v>
      </c>
      <c r="J37" s="419"/>
      <c r="K37" s="419">
        <f t="shared" si="3"/>
        <v>65146</v>
      </c>
    </row>
    <row r="38" spans="2:105" x14ac:dyDescent="0.25">
      <c r="B38" s="433" t="s">
        <v>436</v>
      </c>
      <c r="C38" s="433" t="s">
        <v>128</v>
      </c>
      <c r="D38" s="434" t="s">
        <v>430</v>
      </c>
      <c r="E38" s="418" t="s">
        <v>431</v>
      </c>
      <c r="F38" s="419">
        <v>41776</v>
      </c>
      <c r="G38" s="419">
        <v>0</v>
      </c>
      <c r="H38" s="419">
        <v>0</v>
      </c>
      <c r="I38" s="419">
        <v>0</v>
      </c>
      <c r="J38" s="419"/>
      <c r="K38" s="419">
        <f t="shared" si="3"/>
        <v>41776</v>
      </c>
    </row>
    <row r="39" spans="2:105" x14ac:dyDescent="0.25">
      <c r="B39" s="433" t="s">
        <v>435</v>
      </c>
      <c r="C39" s="433" t="s">
        <v>126</v>
      </c>
      <c r="D39" s="434" t="s">
        <v>430</v>
      </c>
      <c r="E39" s="418" t="s">
        <v>388</v>
      </c>
      <c r="F39" s="419">
        <v>35000</v>
      </c>
      <c r="G39" s="419">
        <v>35000</v>
      </c>
      <c r="H39" s="419">
        <v>35000</v>
      </c>
      <c r="I39" s="419">
        <v>0</v>
      </c>
      <c r="J39" s="419"/>
      <c r="K39" s="419">
        <f t="shared" si="3"/>
        <v>105000</v>
      </c>
    </row>
    <row r="40" spans="2:105" ht="13.8" thickBot="1" x14ac:dyDescent="0.3">
      <c r="B40" s="433" t="s">
        <v>435</v>
      </c>
      <c r="C40" s="433" t="s">
        <v>126</v>
      </c>
      <c r="D40" s="434" t="s">
        <v>430</v>
      </c>
      <c r="E40" s="418" t="s">
        <v>421</v>
      </c>
      <c r="F40" s="419" cm="1">
        <f t="array" ref="F40">_xlfn._xlws.FILTER(Table1[CY 2023],(Table1[Contractor]="CVWD Fallowing"))</f>
        <v>0</v>
      </c>
      <c r="G40" s="419" cm="1">
        <f t="array" ref="G40">_xlfn._xlws.FILTER(Table1[CY 2024],(Table1[Contractor]="CVWD Fallowing"))</f>
        <v>725</v>
      </c>
      <c r="H40" s="419" cm="1">
        <f t="array" ref="H40">_xlfn._xlws.FILTER(Table1[CY 2025],(Table1[Contractor]="CVWD Fallowing"))</f>
        <v>3889</v>
      </c>
      <c r="I40" s="419" cm="1">
        <f t="array" ref="I40">_xlfn._xlws.FILTER(Table1[CY 2026],(Table1[Contractor]="CVWD Fallowing"))</f>
        <v>6511</v>
      </c>
      <c r="J40" s="419"/>
      <c r="K40" s="419">
        <f t="shared" si="3"/>
        <v>11125</v>
      </c>
    </row>
    <row r="41" spans="2:105" ht="14.4" x14ac:dyDescent="0.3">
      <c r="B41" s="433" t="s">
        <v>435</v>
      </c>
      <c r="C41" s="433" t="s">
        <v>126</v>
      </c>
      <c r="D41" s="434" t="s">
        <v>430</v>
      </c>
      <c r="E41" s="418" t="s">
        <v>273</v>
      </c>
      <c r="F41" s="419">
        <v>106111</v>
      </c>
      <c r="G41" s="419">
        <v>220000</v>
      </c>
      <c r="H41" s="419">
        <v>240000</v>
      </c>
      <c r="I41" s="419">
        <v>240000</v>
      </c>
      <c r="J41" s="419"/>
      <c r="K41" s="419">
        <f t="shared" si="3"/>
        <v>806111</v>
      </c>
      <c r="M41" s="439" t="s">
        <v>200</v>
      </c>
      <c r="N41" s="440">
        <v>2023</v>
      </c>
      <c r="O41" s="440">
        <v>2024</v>
      </c>
      <c r="P41" s="440">
        <v>2025</v>
      </c>
      <c r="Q41" s="440">
        <v>2026</v>
      </c>
      <c r="R41" s="440">
        <v>2027</v>
      </c>
      <c r="S41" s="441" t="s">
        <v>174</v>
      </c>
      <c r="T41" s="442"/>
      <c r="U41" s="442"/>
      <c r="V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2"/>
      <c r="BA41" s="442"/>
      <c r="BB41" s="442"/>
      <c r="BC41" s="442"/>
      <c r="BD41" s="442"/>
      <c r="BE41" s="442"/>
      <c r="BF41" s="442"/>
      <c r="BG41" s="442"/>
      <c r="BH41" s="442"/>
      <c r="BI41" s="442"/>
      <c r="BJ41" s="442"/>
      <c r="BK41" s="442"/>
      <c r="BL41" s="442"/>
      <c r="BM41" s="442"/>
      <c r="BN41" s="442"/>
      <c r="BO41" s="442"/>
      <c r="BP41" s="442"/>
      <c r="BQ41" s="442"/>
      <c r="BR41" s="442"/>
      <c r="BS41" s="442"/>
      <c r="BT41" s="442"/>
      <c r="BU41" s="442"/>
      <c r="BV41" s="442"/>
      <c r="BW41" s="442"/>
      <c r="BX41" s="442"/>
      <c r="BY41" s="442"/>
      <c r="BZ41" s="442"/>
      <c r="CA41" s="442"/>
      <c r="CB41" s="442"/>
      <c r="CC41" s="442"/>
      <c r="CD41" s="442"/>
      <c r="CE41" s="442"/>
      <c r="CF41" s="442"/>
      <c r="CG41" s="442"/>
      <c r="CH41" s="442"/>
      <c r="CI41" s="442"/>
      <c r="CJ41" s="442"/>
      <c r="CK41" s="442"/>
      <c r="CL41" s="442"/>
      <c r="CM41" s="442"/>
      <c r="CN41" s="442"/>
      <c r="CO41" s="442"/>
      <c r="CP41" s="442"/>
      <c r="CQ41" s="442"/>
      <c r="CR41" s="442"/>
      <c r="CS41" s="442"/>
      <c r="CT41" s="442"/>
      <c r="CU41" s="442"/>
      <c r="CV41" s="442"/>
      <c r="CW41" s="442"/>
      <c r="CX41" s="442"/>
      <c r="CY41" s="442"/>
      <c r="CZ41" s="442"/>
      <c r="DA41" s="442"/>
    </row>
    <row r="42" spans="2:105" ht="14.4" x14ac:dyDescent="0.3">
      <c r="B42" s="433" t="s">
        <v>435</v>
      </c>
      <c r="C42" s="433" t="s">
        <v>126</v>
      </c>
      <c r="D42" s="434" t="s">
        <v>430</v>
      </c>
      <c r="E42" s="418" t="s">
        <v>426</v>
      </c>
      <c r="F42" s="419">
        <v>71507</v>
      </c>
      <c r="G42" s="419">
        <v>117021</v>
      </c>
      <c r="H42" s="419">
        <v>117021</v>
      </c>
      <c r="I42" s="419">
        <v>79830</v>
      </c>
      <c r="J42" s="419"/>
      <c r="K42" s="419">
        <f t="shared" si="3"/>
        <v>385379</v>
      </c>
      <c r="M42" s="443" t="s">
        <v>128</v>
      </c>
      <c r="N42" s="444">
        <f>SUM(F52:F62)</f>
        <v>354530</v>
      </c>
      <c r="O42" s="444">
        <f>SUM(G52:G62)</f>
        <v>305970.5</v>
      </c>
      <c r="P42" s="444">
        <f>SUM(H52:H62)</f>
        <v>304993.5</v>
      </c>
      <c r="Q42" s="444">
        <f>SUM(I52:I62)</f>
        <v>234862</v>
      </c>
      <c r="R42" s="444">
        <f>SUM(J52:J62)</f>
        <v>74805</v>
      </c>
      <c r="S42" s="445">
        <f>SUM(N42:R42)</f>
        <v>1275161</v>
      </c>
      <c r="T42" s="442"/>
      <c r="U42" s="442"/>
      <c r="V42" s="442"/>
      <c r="W42" s="442"/>
      <c r="X42" s="442"/>
      <c r="Y42" s="442"/>
      <c r="Z42" s="442"/>
      <c r="AA42" s="442"/>
      <c r="AB42" s="442"/>
      <c r="AC42" s="442"/>
      <c r="AD42" s="442"/>
      <c r="AE42" s="442"/>
      <c r="AF42" s="442"/>
      <c r="AG42" s="442"/>
      <c r="AH42" s="442"/>
      <c r="AI42" s="442"/>
      <c r="AJ42" s="442"/>
      <c r="AK42" s="442"/>
      <c r="AL42" s="442"/>
      <c r="AM42" s="442"/>
      <c r="AN42" s="442"/>
      <c r="AO42" s="442"/>
      <c r="AP42" s="442"/>
      <c r="AQ42" s="442"/>
      <c r="AR42" s="442"/>
      <c r="AS42" s="442"/>
      <c r="AT42" s="442"/>
      <c r="AU42" s="442"/>
      <c r="AV42" s="442"/>
      <c r="AW42" s="442"/>
      <c r="AX42" s="442"/>
      <c r="AY42" s="442"/>
      <c r="AZ42" s="442"/>
      <c r="BA42" s="442"/>
      <c r="BB42" s="442"/>
      <c r="BC42" s="442"/>
      <c r="BD42" s="442"/>
      <c r="BE42" s="442"/>
      <c r="BF42" s="442"/>
      <c r="BG42" s="442"/>
      <c r="BH42" s="442"/>
      <c r="BI42" s="442"/>
      <c r="BJ42" s="442"/>
      <c r="BK42" s="442"/>
      <c r="BL42" s="442"/>
      <c r="BM42" s="442"/>
      <c r="BN42" s="442"/>
      <c r="BO42" s="442"/>
      <c r="BP42" s="442"/>
      <c r="BQ42" s="442"/>
      <c r="BR42" s="442"/>
      <c r="BS42" s="442"/>
      <c r="BT42" s="442"/>
      <c r="BU42" s="442"/>
      <c r="BV42" s="442"/>
      <c r="BW42" s="442"/>
      <c r="BX42" s="442"/>
      <c r="BY42" s="442"/>
      <c r="BZ42" s="442"/>
      <c r="CA42" s="442"/>
      <c r="CB42" s="442"/>
      <c r="CC42" s="442"/>
      <c r="CD42" s="442"/>
      <c r="CE42" s="442"/>
      <c r="CF42" s="442"/>
      <c r="CG42" s="442"/>
      <c r="CH42" s="442"/>
      <c r="CI42" s="442"/>
      <c r="CJ42" s="442"/>
      <c r="CK42" s="442"/>
      <c r="CL42" s="442"/>
      <c r="CM42" s="442"/>
      <c r="CN42" s="442"/>
      <c r="CO42" s="442"/>
      <c r="CP42" s="442"/>
      <c r="CQ42" s="442"/>
      <c r="CR42" s="442"/>
      <c r="CS42" s="442"/>
      <c r="CT42" s="442"/>
      <c r="CU42" s="442"/>
      <c r="CV42" s="442"/>
      <c r="CW42" s="442"/>
      <c r="CX42" s="442"/>
      <c r="CY42" s="442"/>
      <c r="CZ42" s="442"/>
      <c r="DA42" s="442"/>
    </row>
    <row r="43" spans="2:105" ht="14.4" x14ac:dyDescent="0.3">
      <c r="B43" s="433" t="s">
        <v>435</v>
      </c>
      <c r="C43" s="433" t="s">
        <v>126</v>
      </c>
      <c r="D43" s="434" t="s">
        <v>430</v>
      </c>
      <c r="E43" s="418" t="s">
        <v>425</v>
      </c>
      <c r="F43" s="419">
        <v>13000</v>
      </c>
      <c r="G43" s="419">
        <v>13000</v>
      </c>
      <c r="H43" s="419">
        <v>13000</v>
      </c>
      <c r="I43" s="419">
        <v>13000</v>
      </c>
      <c r="J43" s="419"/>
      <c r="K43" s="419">
        <f t="shared" si="3"/>
        <v>52000</v>
      </c>
      <c r="M43" s="443" t="s">
        <v>126</v>
      </c>
      <c r="N43" s="444">
        <f>SUM(F63:F70)</f>
        <v>681805</v>
      </c>
      <c r="O43" s="444">
        <f>SUM(G63:G70)</f>
        <v>456096</v>
      </c>
      <c r="P43" s="444">
        <f>SUM(H63:H70)</f>
        <v>428196</v>
      </c>
      <c r="Q43" s="444">
        <f>SUM(I63:I70)</f>
        <v>377609</v>
      </c>
      <c r="R43" s="444">
        <f>SUM(J63:J70)</f>
        <v>0</v>
      </c>
      <c r="S43" s="445">
        <f>SUM(N43:R43)</f>
        <v>1943706</v>
      </c>
      <c r="T43" s="442"/>
      <c r="U43" s="442"/>
      <c r="V43" s="442"/>
      <c r="W43" s="442"/>
      <c r="X43" s="442"/>
      <c r="Y43" s="442"/>
      <c r="Z43" s="442"/>
      <c r="AA43" s="442"/>
      <c r="AB43" s="442"/>
      <c r="AC43" s="442"/>
      <c r="AD43" s="442"/>
      <c r="AE43" s="442"/>
      <c r="AF43" s="442"/>
      <c r="AG43" s="442"/>
      <c r="AH43" s="442"/>
      <c r="AI43" s="442"/>
      <c r="AJ43" s="442"/>
      <c r="AK43" s="442"/>
      <c r="AL43" s="442"/>
      <c r="AM43" s="442"/>
      <c r="AN43" s="442"/>
      <c r="AO43" s="442"/>
      <c r="AP43" s="442"/>
      <c r="AQ43" s="442"/>
      <c r="AR43" s="442"/>
      <c r="AS43" s="442"/>
      <c r="AT43" s="442"/>
      <c r="AU43" s="442"/>
      <c r="AV43" s="442"/>
      <c r="AW43" s="442"/>
      <c r="AX43" s="442"/>
      <c r="AY43" s="442"/>
      <c r="AZ43" s="442"/>
      <c r="BA43" s="442"/>
      <c r="BB43" s="442"/>
      <c r="BC43" s="442"/>
      <c r="BD43" s="442"/>
      <c r="BE43" s="442"/>
      <c r="BF43" s="442"/>
      <c r="BG43" s="442"/>
      <c r="BH43" s="442"/>
      <c r="BI43" s="442"/>
      <c r="BJ43" s="442"/>
      <c r="BK43" s="442"/>
      <c r="BL43" s="442"/>
      <c r="BM43" s="442"/>
      <c r="BN43" s="442"/>
      <c r="BO43" s="442"/>
      <c r="BP43" s="442"/>
      <c r="BQ43" s="442"/>
      <c r="BR43" s="442"/>
      <c r="BS43" s="442"/>
      <c r="BT43" s="442"/>
      <c r="BU43" s="442"/>
      <c r="BV43" s="442"/>
      <c r="BW43" s="442"/>
      <c r="BX43" s="442"/>
      <c r="BY43" s="442"/>
      <c r="BZ43" s="442"/>
      <c r="CA43" s="442"/>
      <c r="CB43" s="442"/>
      <c r="CC43" s="442"/>
      <c r="CD43" s="442"/>
      <c r="CE43" s="442"/>
      <c r="CF43" s="442"/>
      <c r="CG43" s="442"/>
      <c r="CH43" s="442"/>
      <c r="CI43" s="442"/>
      <c r="CJ43" s="442"/>
      <c r="CK43" s="442"/>
      <c r="CL43" s="442"/>
      <c r="CM43" s="442"/>
      <c r="CN43" s="442"/>
      <c r="CO43" s="442"/>
      <c r="CP43" s="442"/>
      <c r="CQ43" s="442"/>
      <c r="CR43" s="442"/>
      <c r="CS43" s="442"/>
      <c r="CT43" s="442"/>
      <c r="CU43" s="442"/>
      <c r="CV43" s="442"/>
      <c r="CW43" s="442"/>
      <c r="CX43" s="442"/>
      <c r="CY43" s="442"/>
      <c r="CZ43" s="442"/>
      <c r="DA43" s="442"/>
    </row>
    <row r="44" spans="2:105" ht="14.4" x14ac:dyDescent="0.3">
      <c r="B44" s="433" t="s">
        <v>436</v>
      </c>
      <c r="C44" s="433" t="s">
        <v>126</v>
      </c>
      <c r="D44" s="434" t="s">
        <v>430</v>
      </c>
      <c r="E44" s="418" t="s">
        <v>432</v>
      </c>
      <c r="F44" s="419">
        <v>450000</v>
      </c>
      <c r="G44" s="419">
        <v>0</v>
      </c>
      <c r="H44" s="419">
        <v>0</v>
      </c>
      <c r="I44" s="419">
        <v>0</v>
      </c>
      <c r="J44" s="419"/>
      <c r="K44" s="419">
        <f t="shared" si="3"/>
        <v>450000</v>
      </c>
      <c r="M44" s="443" t="s">
        <v>127</v>
      </c>
      <c r="N44" s="444">
        <f>SUM(F71:F72)</f>
        <v>124362</v>
      </c>
      <c r="O44" s="444">
        <f>SUM(G71:G72)</f>
        <v>108947</v>
      </c>
      <c r="P44" s="444">
        <f>SUM(H71:H72)</f>
        <v>122000</v>
      </c>
      <c r="Q44" s="444">
        <f>SUM(I71:I72)</f>
        <v>124000</v>
      </c>
      <c r="R44" s="444">
        <f>SUM(J71:J72)</f>
        <v>35000</v>
      </c>
      <c r="S44" s="445">
        <f>SUM(N44:R44)</f>
        <v>514309</v>
      </c>
      <c r="T44" s="442"/>
      <c r="U44" s="442"/>
      <c r="V44" s="442"/>
      <c r="W44" s="442"/>
      <c r="X44" s="442"/>
      <c r="Y44" s="442"/>
      <c r="Z44" s="442"/>
      <c r="AA44" s="442"/>
      <c r="AB44" s="442"/>
      <c r="AC44" s="442"/>
      <c r="AD44" s="442"/>
      <c r="AE44" s="442"/>
      <c r="AF44" s="442"/>
      <c r="AG44" s="442"/>
      <c r="AH44" s="442"/>
      <c r="AI44" s="442"/>
      <c r="AJ44" s="442"/>
      <c r="AK44" s="442"/>
      <c r="AL44" s="442"/>
      <c r="AM44" s="442"/>
      <c r="AN44" s="442"/>
      <c r="AO44" s="442"/>
      <c r="AP44" s="442"/>
      <c r="AQ44" s="442"/>
      <c r="AR44" s="442"/>
      <c r="AS44" s="442"/>
      <c r="AT44" s="442"/>
      <c r="AU44" s="442"/>
      <c r="AV44" s="442"/>
      <c r="AW44" s="442"/>
      <c r="AX44" s="442"/>
      <c r="AY44" s="442"/>
      <c r="AZ44" s="442"/>
      <c r="BA44" s="442"/>
      <c r="BB44" s="442"/>
      <c r="BC44" s="442"/>
      <c r="BD44" s="442"/>
      <c r="BE44" s="442"/>
      <c r="BF44" s="442"/>
      <c r="BG44" s="442"/>
      <c r="BH44" s="442"/>
      <c r="BI44" s="442"/>
      <c r="BJ44" s="442"/>
      <c r="BK44" s="442"/>
      <c r="BL44" s="442"/>
      <c r="BM44" s="442"/>
      <c r="BN44" s="442"/>
      <c r="BO44" s="442"/>
      <c r="BP44" s="442"/>
      <c r="BQ44" s="442"/>
      <c r="BR44" s="442"/>
      <c r="BS44" s="442"/>
      <c r="BT44" s="442"/>
      <c r="BU44" s="442"/>
      <c r="BV44" s="442"/>
      <c r="BW44" s="442"/>
      <c r="BX44" s="442"/>
      <c r="BY44" s="442"/>
      <c r="BZ44" s="442"/>
      <c r="CA44" s="442"/>
      <c r="CB44" s="442"/>
      <c r="CC44" s="442"/>
      <c r="CD44" s="442"/>
      <c r="CE44" s="442"/>
      <c r="CF44" s="442"/>
      <c r="CG44" s="442"/>
      <c r="CH44" s="442"/>
      <c r="CI44" s="442"/>
      <c r="CJ44" s="442"/>
      <c r="CK44" s="442"/>
      <c r="CL44" s="442"/>
      <c r="CM44" s="442"/>
      <c r="CN44" s="442"/>
      <c r="CO44" s="442"/>
      <c r="CP44" s="442"/>
      <c r="CQ44" s="442"/>
      <c r="CR44" s="442"/>
      <c r="CS44" s="442"/>
      <c r="CT44" s="442"/>
      <c r="CU44" s="442"/>
      <c r="CV44" s="442"/>
      <c r="CW44" s="442"/>
      <c r="CX44" s="442"/>
      <c r="CY44" s="442"/>
      <c r="CZ44" s="442"/>
      <c r="DA44" s="442"/>
    </row>
    <row r="45" spans="2:105" ht="14.4" x14ac:dyDescent="0.3">
      <c r="B45" s="433" t="s">
        <v>436</v>
      </c>
      <c r="C45" s="433" t="s">
        <v>126</v>
      </c>
      <c r="D45" s="434" t="s">
        <v>430</v>
      </c>
      <c r="E45" s="418" t="s">
        <v>440</v>
      </c>
      <c r="F45" s="419">
        <v>25066</v>
      </c>
      <c r="G45" s="419">
        <v>31995</v>
      </c>
      <c r="H45" s="419">
        <v>0</v>
      </c>
      <c r="I45" s="419">
        <v>0</v>
      </c>
      <c r="J45" s="419"/>
      <c r="K45" s="419">
        <f t="shared" si="3"/>
        <v>57061</v>
      </c>
      <c r="M45" s="443" t="s">
        <v>437</v>
      </c>
      <c r="N45" s="446">
        <f>SUM(N42:N44)</f>
        <v>1160697</v>
      </c>
      <c r="O45" s="446">
        <f>SUM(O42:O44)</f>
        <v>871013.5</v>
      </c>
      <c r="P45" s="446">
        <f>SUM(P42:P44)</f>
        <v>855189.5</v>
      </c>
      <c r="Q45" s="446">
        <f>SUM(Q42:Q44)</f>
        <v>736471</v>
      </c>
      <c r="R45" s="446">
        <f>SUM(R42:R44)</f>
        <v>109805</v>
      </c>
      <c r="S45" s="447">
        <f>SUM(N45:R45)</f>
        <v>3733176</v>
      </c>
      <c r="T45" s="442"/>
      <c r="U45" s="442"/>
      <c r="V45" s="442"/>
      <c r="W45" s="442"/>
      <c r="X45" s="442"/>
      <c r="Y45" s="442"/>
      <c r="Z45" s="442"/>
      <c r="AA45" s="442"/>
      <c r="AB45" s="442"/>
      <c r="AC45" s="442"/>
      <c r="AD45" s="442"/>
      <c r="AE45" s="442"/>
      <c r="AF45" s="442"/>
      <c r="AG45" s="442"/>
      <c r="AH45" s="442"/>
      <c r="AI45" s="442"/>
      <c r="AJ45" s="442"/>
      <c r="AK45" s="442"/>
      <c r="AL45" s="442"/>
      <c r="AM45" s="442"/>
      <c r="AN45" s="442"/>
      <c r="AO45" s="442"/>
      <c r="AP45" s="442"/>
      <c r="AQ45" s="442"/>
      <c r="AR45" s="442"/>
      <c r="AS45" s="442"/>
      <c r="AT45" s="442"/>
      <c r="AU45" s="442"/>
      <c r="AV45" s="442"/>
      <c r="AW45" s="442"/>
      <c r="AX45" s="442"/>
      <c r="AY45" s="442"/>
      <c r="AZ45" s="442"/>
      <c r="BA45" s="442"/>
      <c r="BB45" s="442"/>
      <c r="BC45" s="442"/>
      <c r="BD45" s="442"/>
      <c r="BE45" s="442"/>
      <c r="BF45" s="442"/>
      <c r="BG45" s="442"/>
      <c r="BH45" s="442"/>
      <c r="BI45" s="442"/>
      <c r="BJ45" s="442"/>
      <c r="BK45" s="442"/>
      <c r="BL45" s="442"/>
      <c r="BM45" s="442"/>
      <c r="BN45" s="442"/>
      <c r="BO45" s="442"/>
      <c r="BP45" s="442"/>
      <c r="BQ45" s="442"/>
      <c r="BR45" s="442"/>
      <c r="BS45" s="442"/>
      <c r="BT45" s="442"/>
      <c r="BU45" s="442"/>
      <c r="BV45" s="442"/>
      <c r="BW45" s="442"/>
      <c r="BX45" s="442"/>
      <c r="BY45" s="442"/>
      <c r="BZ45" s="442"/>
      <c r="CA45" s="442"/>
      <c r="CB45" s="442"/>
      <c r="CC45" s="442"/>
      <c r="CD45" s="442"/>
      <c r="CE45" s="442"/>
      <c r="CF45" s="442"/>
      <c r="CG45" s="442"/>
      <c r="CH45" s="442"/>
      <c r="CI45" s="442"/>
      <c r="CJ45" s="442"/>
      <c r="CK45" s="442"/>
      <c r="CL45" s="442"/>
      <c r="CM45" s="442"/>
      <c r="CN45" s="442"/>
      <c r="CO45" s="442"/>
      <c r="CP45" s="442"/>
      <c r="CQ45" s="442"/>
      <c r="CR45" s="442"/>
      <c r="CS45" s="442"/>
      <c r="CT45" s="442"/>
      <c r="CU45" s="442"/>
      <c r="CV45" s="442"/>
      <c r="CW45" s="442"/>
      <c r="CX45" s="442"/>
      <c r="CY45" s="442"/>
      <c r="CZ45" s="442"/>
      <c r="DA45" s="442"/>
    </row>
    <row r="46" spans="2:105" ht="15" thickBot="1" x14ac:dyDescent="0.35">
      <c r="B46" s="433" t="s">
        <v>436</v>
      </c>
      <c r="C46" s="433" t="s">
        <v>127</v>
      </c>
      <c r="D46" s="434" t="s">
        <v>430</v>
      </c>
      <c r="E46" s="418" t="s">
        <v>441</v>
      </c>
      <c r="F46" s="419">
        <v>88156</v>
      </c>
      <c r="G46" s="419">
        <v>90000</v>
      </c>
      <c r="H46" s="419">
        <v>40000</v>
      </c>
      <c r="I46" s="419">
        <v>35000</v>
      </c>
      <c r="J46" s="419"/>
      <c r="K46" s="419">
        <f t="shared" si="3"/>
        <v>253156</v>
      </c>
      <c r="M46" s="448" t="s">
        <v>391</v>
      </c>
      <c r="N46" s="449">
        <f>N45</f>
        <v>1160697</v>
      </c>
      <c r="O46" s="449">
        <f>N46+O45</f>
        <v>2031710.5</v>
      </c>
      <c r="P46" s="449">
        <f>O46+P45</f>
        <v>2886900</v>
      </c>
      <c r="Q46" s="449">
        <f>P46+Q45</f>
        <v>3623371</v>
      </c>
      <c r="R46" s="449">
        <f>Q46+R45</f>
        <v>3733176</v>
      </c>
      <c r="S46" s="450"/>
      <c r="T46" s="442"/>
      <c r="U46" s="442"/>
      <c r="V46" s="442"/>
      <c r="W46" s="442"/>
      <c r="X46" s="442"/>
      <c r="Y46" s="442"/>
      <c r="Z46" s="442"/>
      <c r="AA46" s="442"/>
      <c r="AB46" s="442"/>
      <c r="AC46" s="442"/>
      <c r="AD46" s="442"/>
      <c r="AE46" s="442"/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2"/>
      <c r="AS46" s="442"/>
      <c r="AT46" s="442"/>
      <c r="AU46" s="442"/>
      <c r="AV46" s="442"/>
      <c r="AW46" s="442"/>
      <c r="AX46" s="442"/>
      <c r="AY46" s="442"/>
      <c r="AZ46" s="442"/>
      <c r="BA46" s="442"/>
      <c r="BB46" s="442"/>
      <c r="BC46" s="442"/>
      <c r="BD46" s="442"/>
      <c r="BE46" s="442"/>
      <c r="BF46" s="442"/>
      <c r="BG46" s="442"/>
      <c r="BH46" s="442"/>
      <c r="BI46" s="442"/>
      <c r="BJ46" s="442"/>
      <c r="BK46" s="442"/>
      <c r="BL46" s="442"/>
      <c r="BM46" s="442"/>
      <c r="BN46" s="442"/>
      <c r="BO46" s="442"/>
      <c r="BP46" s="442"/>
      <c r="BQ46" s="442"/>
      <c r="BR46" s="442"/>
      <c r="BS46" s="442"/>
      <c r="BT46" s="442"/>
      <c r="BU46" s="442"/>
      <c r="BV46" s="442"/>
      <c r="BW46" s="442"/>
      <c r="BX46" s="442"/>
      <c r="BY46" s="442"/>
      <c r="BZ46" s="442"/>
      <c r="CA46" s="442"/>
      <c r="CB46" s="442"/>
      <c r="CC46" s="442"/>
      <c r="CD46" s="442"/>
      <c r="CE46" s="442"/>
      <c r="CF46" s="442"/>
      <c r="CG46" s="442"/>
      <c r="CH46" s="442"/>
      <c r="CI46" s="442"/>
      <c r="CJ46" s="442"/>
      <c r="CK46" s="442"/>
      <c r="CL46" s="442"/>
      <c r="CM46" s="442"/>
      <c r="CN46" s="442"/>
      <c r="CO46" s="442"/>
      <c r="CP46" s="442"/>
      <c r="CQ46" s="442"/>
      <c r="CR46" s="442"/>
      <c r="CS46" s="442"/>
      <c r="CT46" s="442"/>
      <c r="CU46" s="442"/>
      <c r="CV46" s="442"/>
      <c r="CW46" s="442"/>
      <c r="CX46" s="442"/>
      <c r="CY46" s="442"/>
      <c r="CZ46" s="442"/>
      <c r="DA46" s="442"/>
    </row>
    <row r="47" spans="2:105" ht="14.4" x14ac:dyDescent="0.3">
      <c r="B47" s="433" t="s">
        <v>436</v>
      </c>
      <c r="C47" s="433" t="s">
        <v>127</v>
      </c>
      <c r="D47" s="434" t="s">
        <v>430</v>
      </c>
      <c r="E47" s="418" t="s">
        <v>433</v>
      </c>
      <c r="F47" s="419">
        <v>36075</v>
      </c>
      <c r="G47" s="419">
        <v>36000</v>
      </c>
      <c r="H47" s="419">
        <v>30000</v>
      </c>
      <c r="I47" s="419">
        <v>30000</v>
      </c>
      <c r="J47" s="419"/>
      <c r="K47" s="419">
        <f t="shared" si="3"/>
        <v>132075</v>
      </c>
      <c r="N47" s="438"/>
      <c r="O47" s="438"/>
      <c r="P47" s="438"/>
      <c r="Q47" s="438"/>
      <c r="R47" s="438"/>
      <c r="S47" s="442"/>
      <c r="T47" s="442"/>
      <c r="U47" s="442"/>
      <c r="V47" s="442"/>
      <c r="W47" s="442"/>
      <c r="X47" s="442"/>
      <c r="Y47" s="442"/>
      <c r="Z47" s="442"/>
      <c r="AA47" s="442"/>
      <c r="AB47" s="442"/>
      <c r="AC47" s="442"/>
      <c r="AD47" s="442"/>
      <c r="AE47" s="442"/>
      <c r="AF47" s="442"/>
      <c r="AG47" s="442"/>
      <c r="AH47" s="442"/>
      <c r="AI47" s="442"/>
      <c r="AJ47" s="442"/>
      <c r="AK47" s="442"/>
      <c r="AL47" s="442"/>
      <c r="AM47" s="442"/>
      <c r="AN47" s="442"/>
      <c r="AO47" s="442"/>
      <c r="AP47" s="442"/>
      <c r="AQ47" s="442"/>
      <c r="AR47" s="442"/>
      <c r="AS47" s="442"/>
      <c r="AT47" s="442"/>
      <c r="AU47" s="442"/>
      <c r="AV47" s="442"/>
      <c r="AW47" s="442"/>
      <c r="AX47" s="442"/>
      <c r="AY47" s="442"/>
      <c r="AZ47" s="442"/>
      <c r="BA47" s="442"/>
      <c r="BB47" s="442"/>
      <c r="BC47" s="442"/>
      <c r="BD47" s="442"/>
      <c r="BE47" s="442"/>
      <c r="BF47" s="442"/>
      <c r="BG47" s="442"/>
      <c r="BH47" s="442"/>
      <c r="BI47" s="442"/>
      <c r="BJ47" s="442"/>
      <c r="BK47" s="442"/>
      <c r="BL47" s="442"/>
      <c r="BM47" s="442"/>
      <c r="BN47" s="442"/>
      <c r="BO47" s="442"/>
      <c r="BP47" s="442"/>
      <c r="BQ47" s="442"/>
      <c r="BR47" s="442"/>
      <c r="BS47" s="442"/>
      <c r="BT47" s="442"/>
      <c r="BU47" s="442"/>
      <c r="BV47" s="442"/>
      <c r="BW47" s="442"/>
      <c r="BX47" s="442"/>
      <c r="BY47" s="442"/>
      <c r="BZ47" s="442"/>
      <c r="CA47" s="442"/>
      <c r="CB47" s="442"/>
      <c r="CC47" s="442"/>
      <c r="CD47" s="442"/>
      <c r="CE47" s="442"/>
      <c r="CF47" s="442"/>
      <c r="CG47" s="442"/>
      <c r="CH47" s="442"/>
      <c r="CI47" s="442"/>
      <c r="CJ47" s="442"/>
      <c r="CK47" s="442"/>
      <c r="CL47" s="442"/>
      <c r="CM47" s="442"/>
      <c r="CN47" s="442"/>
      <c r="CO47" s="442"/>
      <c r="CP47" s="442"/>
      <c r="CQ47" s="442"/>
      <c r="CR47" s="442"/>
      <c r="CS47" s="442"/>
      <c r="CT47" s="442"/>
      <c r="CU47" s="442"/>
      <c r="CV47" s="442"/>
      <c r="CW47" s="442"/>
      <c r="CX47" s="442"/>
      <c r="CY47" s="442"/>
      <c r="CZ47" s="442"/>
      <c r="DA47" s="442"/>
    </row>
    <row r="48" spans="2:105" ht="14.4" x14ac:dyDescent="0.3">
      <c r="E48" s="418" t="s">
        <v>437</v>
      </c>
      <c r="F48" s="437">
        <f>SUM(F28:F47)</f>
        <v>1179173</v>
      </c>
      <c r="G48" s="437">
        <f>SUM(G28:G47)</f>
        <v>879448.5</v>
      </c>
      <c r="H48" s="437">
        <f>SUM(H28:H47)</f>
        <v>814017.5</v>
      </c>
      <c r="I48" s="437">
        <f>SUM(I28:I47)</f>
        <v>458391</v>
      </c>
      <c r="J48" s="437"/>
      <c r="K48" s="437">
        <f>SUM(K28:K47)</f>
        <v>3331030</v>
      </c>
      <c r="N48" s="438"/>
      <c r="O48" s="438"/>
      <c r="P48" s="438"/>
      <c r="W48" s="442"/>
      <c r="X48" s="442"/>
      <c r="Y48" s="442"/>
      <c r="Z48" s="442"/>
      <c r="AA48" s="442"/>
      <c r="AB48" s="442"/>
      <c r="AC48" s="442"/>
    </row>
    <row r="49" spans="4:12" x14ac:dyDescent="0.25">
      <c r="E49" s="418" t="s">
        <v>391</v>
      </c>
      <c r="F49" s="437">
        <f>F48</f>
        <v>1179173</v>
      </c>
      <c r="G49" s="437">
        <f>F49+G48</f>
        <v>2058621.5</v>
      </c>
      <c r="H49" s="437">
        <f t="shared" ref="H49:I49" si="4">G49+H48</f>
        <v>2872639</v>
      </c>
      <c r="I49" s="437">
        <f t="shared" si="4"/>
        <v>3331030</v>
      </c>
      <c r="J49" s="437"/>
      <c r="K49" s="437"/>
    </row>
    <row r="50" spans="4:12" ht="13.8" thickBot="1" x14ac:dyDescent="0.3"/>
    <row r="51" spans="4:12" ht="15" customHeight="1" x14ac:dyDescent="0.25">
      <c r="D51" s="451" t="s">
        <v>200</v>
      </c>
      <c r="E51" s="440" t="s">
        <v>438</v>
      </c>
      <c r="F51" s="440">
        <v>2023</v>
      </c>
      <c r="G51" s="440">
        <v>2024</v>
      </c>
      <c r="H51" s="440">
        <v>2025</v>
      </c>
      <c r="I51" s="440">
        <v>2026</v>
      </c>
      <c r="J51" s="518">
        <v>2027</v>
      </c>
      <c r="K51" s="441" t="s">
        <v>174</v>
      </c>
    </row>
    <row r="52" spans="4:12" x14ac:dyDescent="0.25">
      <c r="D52" s="581" t="s">
        <v>128</v>
      </c>
      <c r="E52" s="452" t="s">
        <v>431</v>
      </c>
      <c r="F52" s="453">
        <v>41776</v>
      </c>
      <c r="G52" s="453">
        <v>0</v>
      </c>
      <c r="H52" s="453">
        <v>0</v>
      </c>
      <c r="I52" s="453">
        <v>0</v>
      </c>
      <c r="J52" s="519">
        <v>0</v>
      </c>
      <c r="K52" s="454">
        <f>SUM(F52:J52)</f>
        <v>41776</v>
      </c>
    </row>
    <row r="53" spans="4:12" x14ac:dyDescent="0.25">
      <c r="D53" s="582"/>
      <c r="E53" s="455" t="s">
        <v>385</v>
      </c>
      <c r="F53" s="456" cm="1">
        <f t="array" ref="F53">SUM(_xlfn._xlws.FILTER(Table1[CY 2023], (Table1[Modeled]="Yes")*(Table1[State] = "AZ-CAWCD")))</f>
        <v>141400</v>
      </c>
      <c r="G53" s="456" cm="1">
        <f t="array" ref="G53">SUM(_xlfn._xlws.FILTER(Table1[CY 2024], (Table1[Modeled]="Yes")*(Table1[State] = "AZ-CAWCD")))</f>
        <v>123400</v>
      </c>
      <c r="H53" s="456" cm="1">
        <f t="array" ref="H53">SUM(_xlfn._xlws.FILTER(Table1[CY 2025], (Table1[Modeled]="Yes")*(Table1[State] = "AZ-CAWCD")))</f>
        <v>125503</v>
      </c>
      <c r="I53" s="456" cm="1">
        <f t="array" ref="I53">SUM(_xlfn._xlws.FILTER(Table1[CY 2026], (Table1[Modeled]="Yes")*(Table1[State] = "AZ-CAWCD")))</f>
        <v>98800</v>
      </c>
      <c r="J53" s="456" cm="1">
        <f t="array" ref="J53">SUM(_xlfn._xlws.FILTER(Table1[CY 2027], (Table1[Modeled]="Yes")*(Table1[State] = "AZ-CAWCD")))</f>
        <v>7224</v>
      </c>
      <c r="K53" s="457">
        <f>SUM(F53:J53)</f>
        <v>496327</v>
      </c>
    </row>
    <row r="54" spans="4:12" x14ac:dyDescent="0.25">
      <c r="D54" s="582"/>
      <c r="E54" s="458" t="s">
        <v>423</v>
      </c>
      <c r="F54" s="453" cm="1">
        <f t="array" ref="F54">_xlfn._xlws.FILTER(Table1[CY 2023],(Table1[Contractor]="Cathcart"))</f>
        <v>57</v>
      </c>
      <c r="G54" s="453" cm="1">
        <f t="array" ref="G54">_xlfn._xlws.FILTER(Table1[CY 2024],(Table1[Contractor]="Cathcart"))</f>
        <v>60.5</v>
      </c>
      <c r="H54" s="453" cm="1">
        <f t="array" ref="H54">_xlfn._xlws.FILTER(Table1[CY 2025],(Table1[Contractor]="Cathcart"))</f>
        <v>60.5</v>
      </c>
      <c r="I54" s="453" cm="1">
        <f t="array" ref="I54">_xlfn._xlws.FILTER(Table1[CY 2026],(Table1[Contractor]="Cathcart"))</f>
        <v>61</v>
      </c>
      <c r="J54" s="453" cm="1">
        <f t="array" ref="J54">_xlfn._xlws.FILTER(Table1[CY 2027],(Table1[Contractor]="Cathcart"))</f>
        <v>0</v>
      </c>
      <c r="K54" s="454">
        <f t="shared" ref="K54:K61" si="5">SUM(F54:J54)</f>
        <v>239</v>
      </c>
    </row>
    <row r="55" spans="4:12" x14ac:dyDescent="0.25">
      <c r="D55" s="582"/>
      <c r="E55" s="459" t="s">
        <v>389</v>
      </c>
      <c r="F55" s="456" cm="1">
        <f t="array" ref="F55">_xlfn._xlws.FILTER(Table1[CY 2023],(Table1[Contractor]="CVIDD"))</f>
        <v>1682</v>
      </c>
      <c r="G55" s="456" cm="1">
        <f t="array" ref="G55">_xlfn._xlws.FILTER(Table1[CY 2024],(Table1[Contractor]="CVIDD"))</f>
        <v>2328</v>
      </c>
      <c r="H55" s="456" cm="1">
        <f t="array" ref="H55">_xlfn._xlws.FILTER(Table1[CY 2025],(Table1[Contractor]="CVIDD"))</f>
        <v>2328</v>
      </c>
      <c r="I55" s="456" cm="1">
        <f t="array" ref="I55">_xlfn._xlws.FILTER(Table1[CY 2026],(Table1[Contractor]="CVIDD"))</f>
        <v>2329</v>
      </c>
      <c r="J55" s="456" cm="1">
        <f t="array" ref="J55">_xlfn._xlws.FILTER(Table1[CY 2027],(Table1[Contractor]="CVIDD"))</f>
        <v>0</v>
      </c>
      <c r="K55" s="457">
        <f t="shared" si="5"/>
        <v>8667</v>
      </c>
    </row>
    <row r="56" spans="4:12" x14ac:dyDescent="0.25">
      <c r="D56" s="582"/>
      <c r="E56" s="452" t="s">
        <v>386</v>
      </c>
      <c r="F56" s="453" cm="1">
        <f t="array" ref="F56">_xlfn._xlws.FILTER(Table1[CY 2023],(Table1[Contractor]="FMYN"))</f>
        <v>13933</v>
      </c>
      <c r="G56" s="453" cm="1">
        <f t="array" ref="G56">_xlfn._xlws.FILTER(Table1[CY 2024],(Table1[Contractor]="FMYN"))</f>
        <v>13933</v>
      </c>
      <c r="H56" s="453" cm="1">
        <f t="array" ref="H56">_xlfn._xlws.FILTER(Table1[CY 2025],(Table1[Contractor]="FMYN"))</f>
        <v>13933</v>
      </c>
      <c r="I56" s="453" cm="1">
        <f t="array" ref="I56">_xlfn._xlws.FILTER(Table1[CY 2026],(Table1[Contractor]="FMYN"))</f>
        <v>13933</v>
      </c>
      <c r="J56" s="453" cm="1">
        <f t="array" ref="J56">_xlfn._xlws.FILTER(Table1[CY 2027],(Table1[Contractor]="FMYN"))</f>
        <v>0</v>
      </c>
      <c r="K56" s="454">
        <f t="shared" si="5"/>
        <v>55732</v>
      </c>
    </row>
    <row r="57" spans="4:12" x14ac:dyDescent="0.25">
      <c r="D57" s="582"/>
      <c r="E57" s="459" t="s">
        <v>422</v>
      </c>
      <c r="F57" s="456" cm="1">
        <f t="array" ref="F57">_xlfn._xlws.FILTER(Table1[CY 2023],(Table1[Contractor]="GM Gabrych/Matador"))</f>
        <v>3240</v>
      </c>
      <c r="G57" s="456" cm="1">
        <f t="array" ref="G57">_xlfn._xlws.FILTER(Table1[CY 2024],(Table1[Contractor]="GM Gabrych/Matador"))</f>
        <v>3240</v>
      </c>
      <c r="H57" s="456" cm="1">
        <f t="array" ref="H57">_xlfn._xlws.FILTER(Table1[CY 2025],(Table1[Contractor]="GM Gabrych/Matador"))</f>
        <v>3240</v>
      </c>
      <c r="I57" s="456" cm="1">
        <f t="array" ref="I57">_xlfn._xlws.FILTER(Table1[CY 2026],(Table1[Contractor]="GM Gabrych/Matador"))</f>
        <v>3240</v>
      </c>
      <c r="J57" s="456" cm="1">
        <f t="array" ref="J57">_xlfn._xlws.FILTER(Table1[CY 2027],(Table1[Contractor]="GM Gabrych/Matador"))</f>
        <v>0</v>
      </c>
      <c r="K57" s="457">
        <f t="shared" si="5"/>
        <v>12960</v>
      </c>
    </row>
    <row r="58" spans="4:12" x14ac:dyDescent="0.25">
      <c r="D58" s="582"/>
      <c r="E58" s="452" t="s">
        <v>85</v>
      </c>
      <c r="F58" s="453" cm="1">
        <f t="array" ref="F58">_xlfn._xlws.FILTER(Table1[CY 2023],(Table1[Contractor]="GRIC"))</f>
        <v>91319</v>
      </c>
      <c r="G58" s="453" cm="1">
        <f t="array" ref="G58">_xlfn._xlws.FILTER(Table1[CY 2024],(Table1[Contractor]="GRIC"))</f>
        <v>125000</v>
      </c>
      <c r="H58" s="453" cm="1">
        <f t="array" ref="H58">_xlfn._xlws.FILTER(Table1[CY 2025],(Table1[Contractor]="GRIC"))</f>
        <v>119561</v>
      </c>
      <c r="I58" s="453" cm="1">
        <f t="array" ref="I58">_xlfn._xlws.FILTER(Table1[CY 2026],(Table1[Contractor]="GRIC"))</f>
        <v>75363</v>
      </c>
      <c r="J58" s="453" cm="1">
        <f t="array" ref="J58">_xlfn._xlws.FILTER(Table1[CY 2027],(Table1[Contractor]="GRIC"))</f>
        <v>67581</v>
      </c>
      <c r="K58" s="454">
        <f t="shared" si="5"/>
        <v>478824</v>
      </c>
    </row>
    <row r="59" spans="4:12" x14ac:dyDescent="0.25">
      <c r="D59" s="582"/>
      <c r="E59" s="455" t="s">
        <v>424</v>
      </c>
      <c r="F59" s="456" cm="1">
        <f t="array" ref="F59">_xlfn._xlws.FILTER(Table1[CY 2023],(Table1[Contractor]="Hopi"))</f>
        <v>2679</v>
      </c>
      <c r="G59" s="456" cm="1">
        <f t="array" ref="G59">_xlfn._xlws.FILTER(Table1[CY 2024],(Table1[Contractor]="Hopi"))</f>
        <v>3059</v>
      </c>
      <c r="H59" s="456" cm="1">
        <f t="array" ref="H59">_xlfn._xlws.FILTER(Table1[CY 2025],(Table1[Contractor]="Hopi"))</f>
        <v>3059</v>
      </c>
      <c r="I59" s="456" cm="1">
        <f t="array" ref="I59">_xlfn._xlws.FILTER(Table1[CY 2026],(Table1[Contractor]="Hopi"))</f>
        <v>3059</v>
      </c>
      <c r="J59" s="456" cm="1">
        <f t="array" ref="J59">_xlfn._xlws.FILTER(Table1[CY 2027],(Table1[Contractor]="Hopi"))</f>
        <v>0</v>
      </c>
      <c r="K59" s="457">
        <f t="shared" si="5"/>
        <v>11856</v>
      </c>
    </row>
    <row r="60" spans="4:12" x14ac:dyDescent="0.25">
      <c r="D60" s="582"/>
      <c r="E60" s="458" t="s">
        <v>251</v>
      </c>
      <c r="F60" s="453" cm="1">
        <f t="array" ref="F60">_xlfn._xlws.FILTER(Table1[CY 2023],(Table1[Contractor]="MVIDD"))</f>
        <v>12812</v>
      </c>
      <c r="G60" s="453" cm="1">
        <f t="array" ref="G60">_xlfn._xlws.FILTER(Table1[CY 2024],(Table1[Contractor]="MVIDD"))</f>
        <v>13293</v>
      </c>
      <c r="H60" s="453" cm="1">
        <f t="array" ref="H60">_xlfn._xlws.FILTER(Table1[CY 2025],(Table1[Contractor]="MVIDD"))</f>
        <v>13694</v>
      </c>
      <c r="I60" s="453" cm="1">
        <f t="array" ref="I60">_xlfn._xlws.FILTER(Table1[CY 2026],(Table1[Contractor]="MVIDD"))</f>
        <v>14184</v>
      </c>
      <c r="J60" s="453" cm="1">
        <f t="array" ref="J60">_xlfn._xlws.FILTER(Table1[CY 2027],(Table1[Contractor]="MVIDD"))</f>
        <v>0</v>
      </c>
      <c r="K60" s="454">
        <f t="shared" si="5"/>
        <v>53983</v>
      </c>
    </row>
    <row r="61" spans="4:12" x14ac:dyDescent="0.25">
      <c r="D61" s="582"/>
      <c r="E61" s="455" t="s">
        <v>387</v>
      </c>
      <c r="F61" s="456">
        <v>23804</v>
      </c>
      <c r="G61" s="547"/>
      <c r="H61" s="547"/>
      <c r="I61" s="547"/>
      <c r="J61" s="460" cm="1">
        <f t="array" ref="J61">_xlfn._xlws.FILTER(Table1[CY 2027],(Table1[Contractor]="SCAT"))</f>
        <v>0</v>
      </c>
      <c r="K61" s="457">
        <f t="shared" si="5"/>
        <v>23804</v>
      </c>
      <c r="L61" s="551" t="s">
        <v>533</v>
      </c>
    </row>
    <row r="62" spans="4:12" ht="13.8" thickBot="1" x14ac:dyDescent="0.3">
      <c r="D62" s="583"/>
      <c r="E62" s="461" t="s">
        <v>255</v>
      </c>
      <c r="F62" s="545">
        <v>21828</v>
      </c>
      <c r="G62" s="462" cm="1">
        <f t="array" ref="G62">_xlfn._xlws.FILTER(Table1[CY 2024],(Table1[Contractor]="YMIDD"))</f>
        <v>21657</v>
      </c>
      <c r="H62" s="462" cm="1">
        <f t="array" ref="H62">_xlfn._xlws.FILTER(Table1[CY 2025],(Table1[Contractor]="YMIDD"))</f>
        <v>23615</v>
      </c>
      <c r="I62" s="462" cm="1">
        <f t="array" ref="I62">_xlfn._xlws.FILTER(Table1[CY 2026],(Table1[Contractor]="YMIDD"))</f>
        <v>23893</v>
      </c>
      <c r="J62" s="462" cm="1">
        <f t="array" ref="J62">_xlfn._xlws.FILTER(Table1[CY 2027],(Table1[Contractor]="YMIDD"))</f>
        <v>0</v>
      </c>
      <c r="K62" s="463">
        <f>SUM(F62:J62)</f>
        <v>90993</v>
      </c>
    </row>
    <row r="63" spans="4:12" ht="13.35" customHeight="1" x14ac:dyDescent="0.25">
      <c r="D63" s="587" t="s">
        <v>126</v>
      </c>
      <c r="E63" s="452" t="s">
        <v>388</v>
      </c>
      <c r="F63" s="453" cm="1">
        <f t="array" ref="F63">_xlfn._xlws.FILTER(Table1[CY 2023],(Table1[Contractor]="CVWD Grd Wtr Replnt"))</f>
        <v>35000</v>
      </c>
      <c r="G63" s="453" cm="1">
        <f t="array" ref="G63">_xlfn._xlws.FILTER(Table1[CY 2024],(Table1[Contractor]="CVWD Grd Wtr Replnt"))</f>
        <v>35000</v>
      </c>
      <c r="H63" s="453" cm="1">
        <f t="array" ref="H63">_xlfn._xlws.FILTER(Table1[CY 2025],(Table1[Contractor]="CVWD Grd Wtr Replnt"))</f>
        <v>35000</v>
      </c>
      <c r="I63" s="453" cm="1">
        <f t="array" ref="I63">_xlfn._xlws.FILTER(Table1[CY 2026],(Table1[Contractor]="CVWD Grd Wtr Replnt"))</f>
        <v>35000</v>
      </c>
      <c r="J63" s="453" cm="1">
        <f t="array" ref="J63">_xlfn._xlws.FILTER(Table1[CY 2027],(Table1[Contractor]="CVWD Grd Wtr Replnt"))</f>
        <v>0</v>
      </c>
      <c r="K63" s="454">
        <f>SUM(F63:J63)</f>
        <v>140000</v>
      </c>
    </row>
    <row r="64" spans="4:12" ht="14.85" customHeight="1" x14ac:dyDescent="0.25">
      <c r="D64" s="588"/>
      <c r="E64" s="455" t="s">
        <v>453</v>
      </c>
      <c r="F64" s="456" cm="1">
        <f t="array" ref="F64">_xlfn._xlws.FILTER(Table1[CY 2023],(Table1[Contractor]="CVWD Fallowing"))</f>
        <v>0</v>
      </c>
      <c r="G64" s="456" cm="1">
        <f t="array" ref="G64">_xlfn._xlws.FILTER(Table1[CY 2024],(Table1[Contractor]="CVWD Fallowing"))</f>
        <v>725</v>
      </c>
      <c r="H64" s="456" cm="1">
        <f t="array" ref="H64">_xlfn._xlws.FILTER(Table1[CY 2025],(Table1[Contractor]="CVWD Fallowing"))</f>
        <v>3889</v>
      </c>
      <c r="I64" s="456" cm="1">
        <f t="array" ref="I64">_xlfn._xlws.FILTER(Table1[CY 2026],(Table1[Contractor]="CVWD Fallowing"))</f>
        <v>6511</v>
      </c>
      <c r="J64" s="456" cm="1">
        <f t="array" ref="J64">_xlfn._xlws.FILTER(Table1[CY 2027],(Table1[Contractor]="CVWD Fallowing"))</f>
        <v>0</v>
      </c>
      <c r="K64" s="457">
        <f>SUM(F64:J64)</f>
        <v>11125</v>
      </c>
    </row>
    <row r="65" spans="4:11" ht="14.85" customHeight="1" x14ac:dyDescent="0.25">
      <c r="D65" s="588"/>
      <c r="E65" s="452" t="s">
        <v>273</v>
      </c>
      <c r="F65" s="453" cm="1">
        <f t="array" ref="F65">_xlfn._xlws.FILTER(Table1[CY 2023],(Table1[Contractor]="IID 2023-2026"))</f>
        <v>106111</v>
      </c>
      <c r="G65" s="453" cm="1">
        <f t="array" ref="G65">_xlfn._xlws.FILTER(Table1[CY 2024],(Table1[Contractor]="IID 2023-2026"))</f>
        <v>257640</v>
      </c>
      <c r="H65" s="453" cm="1">
        <f t="array" ref="H65">_xlfn._xlws.FILTER(Table1[CY 2025],(Table1[Contractor]="IID 2023-2026"))</f>
        <v>250000</v>
      </c>
      <c r="I65" s="453" cm="1">
        <f t="array" ref="I65">_xlfn._xlws.FILTER(Table1[CY 2026],(Table1[Contractor]="IID 2023-2026"))</f>
        <v>192360</v>
      </c>
      <c r="J65" s="453" cm="1">
        <f t="array" ref="J65">_xlfn._xlws.FILTER(Table1[CY 2027],(Table1[Contractor]="IID 2023-2026"))</f>
        <v>0</v>
      </c>
      <c r="K65" s="454">
        <f t="shared" ref="K65:K69" si="6">SUM(F65:J65)</f>
        <v>806111</v>
      </c>
    </row>
    <row r="66" spans="4:11" ht="14.85" customHeight="1" x14ac:dyDescent="0.25">
      <c r="D66" s="588"/>
      <c r="E66" s="455" t="s">
        <v>432</v>
      </c>
      <c r="F66" s="456">
        <v>450000</v>
      </c>
      <c r="G66" s="456"/>
      <c r="H66" s="456">
        <v>0</v>
      </c>
      <c r="I66" s="456">
        <v>0</v>
      </c>
      <c r="J66" s="456">
        <v>0</v>
      </c>
      <c r="K66" s="457">
        <f t="shared" si="6"/>
        <v>450000</v>
      </c>
    </row>
    <row r="67" spans="4:11" ht="14.85" customHeight="1" x14ac:dyDescent="0.25">
      <c r="D67" s="588"/>
      <c r="E67" s="501" t="s">
        <v>440</v>
      </c>
      <c r="F67" s="502">
        <v>25066</v>
      </c>
      <c r="G67" s="502">
        <v>27010</v>
      </c>
      <c r="H67" s="502">
        <f>_xlfn.XLOOKUP("California- Water left in Mead",'2025'!$A$1:$A$62,'2025'!$B$1:$B$62)*-1</f>
        <v>0</v>
      </c>
      <c r="I67" s="502">
        <f>_xlfn.XLOOKUP("California- Water left in Mead",'2026'!$A$1:$A$61,'2026'!$B$1:$B$61)*-1</f>
        <v>0</v>
      </c>
      <c r="J67" s="502">
        <f>_xlfn.XLOOKUP("California- Water left in Mead",'2027'!$A$1:$A$61,'2027'!$B$1:$B$61)*-1</f>
        <v>0</v>
      </c>
      <c r="K67" s="454">
        <f t="shared" si="6"/>
        <v>52076</v>
      </c>
    </row>
    <row r="68" spans="4:11" ht="14.85" customHeight="1" x14ac:dyDescent="0.25">
      <c r="D68" s="588"/>
      <c r="E68" s="505" t="s">
        <v>426</v>
      </c>
      <c r="F68" s="546">
        <v>52628</v>
      </c>
      <c r="G68" s="506" cm="1">
        <f t="array" ref="G68">_xlfn._xlws.FILTER(Table1[CY 2024],(Table1[Contractor]="PVID"))</f>
        <v>117021</v>
      </c>
      <c r="H68" s="506" cm="1">
        <f t="array" ref="H68">_xlfn._xlws.FILTER(Table1[CY 2025],(Table1[Contractor]="PVID"))</f>
        <v>117021</v>
      </c>
      <c r="I68" s="506" cm="1">
        <f t="array" ref="I68">_xlfn._xlws.FILTER(Table1[CY 2026],(Table1[Contractor]="PVID"))</f>
        <v>119338</v>
      </c>
      <c r="J68" s="506" cm="1">
        <f t="array" ref="J68">_xlfn._xlws.FILTER(Table1[CY 2027],(Table1[Contractor]="PVID"))</f>
        <v>0</v>
      </c>
      <c r="K68" s="457">
        <f t="shared" si="6"/>
        <v>406008</v>
      </c>
    </row>
    <row r="69" spans="4:11" ht="14.85" customHeight="1" x14ac:dyDescent="0.25">
      <c r="D69" s="588"/>
      <c r="E69" s="503" t="s">
        <v>486</v>
      </c>
      <c r="F69" s="504" cm="1">
        <f t="array" ref="F69">_xlfn._xlws.FILTER(Table1[CY 2023],(Table1[Contractor]="Bard"))</f>
        <v>0</v>
      </c>
      <c r="G69" s="504" cm="1">
        <f t="array" ref="G69">_xlfn._xlws.FILTER(Table1[CY 2024],(Table1[Contractor]="Bard"))</f>
        <v>5700</v>
      </c>
      <c r="H69" s="504" cm="1">
        <f t="array" ref="H69">_xlfn._xlws.FILTER(Table1[CY 2025],(Table1[Contractor]="Bard"))</f>
        <v>9286</v>
      </c>
      <c r="I69" s="504" cm="1">
        <f t="array" ref="I69">_xlfn._xlws.FILTER(Table1[CY 2026],(Table1[Contractor]="Bard"))</f>
        <v>11400</v>
      </c>
      <c r="J69" s="504" cm="1">
        <f t="array" ref="J69">_xlfn._xlws.FILTER(Table1[CY 2027],(Table1[Contractor]="Bard"))</f>
        <v>0</v>
      </c>
      <c r="K69" s="454">
        <f t="shared" si="6"/>
        <v>26386</v>
      </c>
    </row>
    <row r="70" spans="4:11" ht="15" customHeight="1" thickBot="1" x14ac:dyDescent="0.3">
      <c r="D70" s="589"/>
      <c r="E70" s="467" t="s">
        <v>425</v>
      </c>
      <c r="F70" s="468" cm="1">
        <f t="array" ref="F70">_xlfn._xlws.FILTER(Table1[CY 2023],(Table1[Contractor]="Quechan"))</f>
        <v>13000</v>
      </c>
      <c r="G70" s="468" cm="1">
        <f t="array" ref="G70">_xlfn._xlws.FILTER(Table1[CY 2024],(Table1[Contractor]="Quechan"))</f>
        <v>13000</v>
      </c>
      <c r="H70" s="468" cm="1">
        <f t="array" ref="H70">_xlfn._xlws.FILTER(Table1[CY 2025],(Table1[Contractor]="Quechan"))</f>
        <v>13000</v>
      </c>
      <c r="I70" s="468" cm="1">
        <f t="array" ref="I70">_xlfn._xlws.FILTER(Table1[CY 2026],(Table1[Contractor]="Quechan"))</f>
        <v>13000</v>
      </c>
      <c r="J70" s="468" cm="1">
        <f t="array" ref="J70">_xlfn._xlws.FILTER(Table1[CY 2027],(Table1[Contractor]="Quechan"))</f>
        <v>0</v>
      </c>
      <c r="K70" s="469">
        <f>SUM(F70:J70)</f>
        <v>52000</v>
      </c>
    </row>
    <row r="71" spans="4:11" x14ac:dyDescent="0.25">
      <c r="D71" s="579" t="s">
        <v>127</v>
      </c>
      <c r="E71" s="464" t="s">
        <v>441</v>
      </c>
      <c r="F71" s="465">
        <v>88156</v>
      </c>
      <c r="G71" s="465">
        <v>74572</v>
      </c>
      <c r="H71" s="465">
        <f>_xlfn.XLOOKUP("System Conservation (in additon to tributary)",'2025'!$A$1:$A$62,'2025'!$B$1:$B$62)*-1</f>
        <v>87000</v>
      </c>
      <c r="I71" s="465">
        <f>_xlfn.XLOOKUP("System Conservation (in additon to tributary)",'2026'!$A$1:$A$61,'2026'!$B$1:$B$61)*-1</f>
        <v>89000</v>
      </c>
      <c r="J71" s="465">
        <f>_xlfn.XLOOKUP("System Conservation (in additon to tributary)",'2027'!$A$1:$A$61,'2027'!$B$1:$B$61)*-1</f>
        <v>0</v>
      </c>
      <c r="K71" s="466">
        <f>SUM(F71:J71)</f>
        <v>338728</v>
      </c>
    </row>
    <row r="72" spans="4:11" ht="13.8" thickBot="1" x14ac:dyDescent="0.3">
      <c r="D72" s="580"/>
      <c r="E72" s="467" t="s">
        <v>433</v>
      </c>
      <c r="F72" s="545">
        <v>36206</v>
      </c>
      <c r="G72" s="468">
        <v>34375</v>
      </c>
      <c r="H72" s="468">
        <f>_xlfn.XLOOKUP("Tributary Conservation",'2025'!$A$1:$A$62,'2025'!$B$1:$B$62)</f>
        <v>35000</v>
      </c>
      <c r="I72" s="468">
        <f>_xlfn.XLOOKUP("Tributary Conservation",'2026'!$A$1:$A$61,'2026'!$B$1:$B$61)</f>
        <v>35000</v>
      </c>
      <c r="J72" s="468">
        <f>_xlfn.XLOOKUP("Tributary Conservation",'2027'!$A$1:$A$61,'2027'!$B$1:$B$61)</f>
        <v>35000</v>
      </c>
      <c r="K72" s="469">
        <f>SUM(F72:J72)</f>
        <v>175581</v>
      </c>
    </row>
    <row r="73" spans="4:11" x14ac:dyDescent="0.25">
      <c r="D73" s="577"/>
      <c r="E73" s="470" t="s">
        <v>437</v>
      </c>
      <c r="F73" s="471">
        <f t="shared" ref="F73:K73" si="7">SUM(F52:F72)</f>
        <v>1160697</v>
      </c>
      <c r="G73" s="471">
        <f t="shared" si="7"/>
        <v>871013.5</v>
      </c>
      <c r="H73" s="471">
        <f>SUM(H52:H72)</f>
        <v>855189.5</v>
      </c>
      <c r="I73" s="471">
        <f t="shared" si="7"/>
        <v>736471</v>
      </c>
      <c r="J73" s="471">
        <f t="shared" si="7"/>
        <v>109805</v>
      </c>
      <c r="K73" s="472">
        <f t="shared" si="7"/>
        <v>3733176</v>
      </c>
    </row>
    <row r="74" spans="4:11" ht="13.8" thickBot="1" x14ac:dyDescent="0.3">
      <c r="D74" s="578"/>
      <c r="E74" s="473" t="s">
        <v>391</v>
      </c>
      <c r="F74" s="449">
        <f>F73</f>
        <v>1160697</v>
      </c>
      <c r="G74" s="449">
        <f>F74+G73</f>
        <v>2031710.5</v>
      </c>
      <c r="H74" s="449">
        <f t="shared" ref="H74" si="8">G74+H73</f>
        <v>2886900</v>
      </c>
      <c r="I74" s="449">
        <f t="shared" ref="I74" si="9">H74+I73</f>
        <v>3623371</v>
      </c>
      <c r="J74" s="449">
        <f>I74+J73</f>
        <v>3733176</v>
      </c>
      <c r="K74" s="450"/>
    </row>
    <row r="76" spans="4:11" x14ac:dyDescent="0.25">
      <c r="E76" s="455" t="s">
        <v>427</v>
      </c>
      <c r="F76" s="456">
        <v>7007</v>
      </c>
      <c r="G76" s="456" cm="1">
        <f t="array" ref="G76">_xlfn._xlws.FILTER(Table1[CY 2024],(Table1[Contractor]="242 Wellfield"))</f>
        <v>22169</v>
      </c>
      <c r="H76" s="456" cm="1">
        <f t="array" ref="H76">_xlfn._xlws.FILTER(Table1[CY 2025],(Table1[Contractor]="242 Wellfield"))</f>
        <v>32000</v>
      </c>
      <c r="I76" s="456" cm="1">
        <f t="array" ref="I76">_xlfn._xlws.FILTER(Table1[CY 2026],(Table1[Contractor]="242 Wellfield"))</f>
        <v>50000</v>
      </c>
      <c r="J76" s="520"/>
      <c r="K76" s="457">
        <f>SUM(F76:I76)</f>
        <v>111176</v>
      </c>
    </row>
    <row r="77" spans="4:11" x14ac:dyDescent="0.25">
      <c r="E77" s="455" t="s">
        <v>458</v>
      </c>
      <c r="F77" s="456">
        <v>201</v>
      </c>
      <c r="G77" s="456">
        <f>-1*('OLD 2024'!B24+'OLD 2024'!B12)</f>
        <v>545</v>
      </c>
      <c r="H77" s="456">
        <f>-1*('2025'!B26+'2025'!B13)</f>
        <v>3346</v>
      </c>
      <c r="I77" s="456">
        <f>-1*('2026'!B26+'2025'!B13)</f>
        <v>3197</v>
      </c>
      <c r="J77" s="520"/>
      <c r="K77" s="457">
        <f t="shared" ref="K77" si="10">SUM(F77:I77)</f>
        <v>7289</v>
      </c>
    </row>
    <row r="78" spans="4:11" ht="13.8" thickBot="1" x14ac:dyDescent="0.3"/>
    <row r="79" spans="4:11" ht="16.350000000000001" customHeight="1" thickBot="1" x14ac:dyDescent="0.35">
      <c r="D79" s="537" t="s">
        <v>200</v>
      </c>
      <c r="E79" s="538" t="s">
        <v>521</v>
      </c>
      <c r="F79" s="538">
        <v>2025</v>
      </c>
      <c r="G79" s="538">
        <v>2026</v>
      </c>
      <c r="H79" s="539">
        <v>2027</v>
      </c>
      <c r="I79" s="530" t="s">
        <v>174</v>
      </c>
      <c r="J79"/>
    </row>
    <row r="80" spans="4:11" ht="16.350000000000001" customHeight="1" x14ac:dyDescent="0.3">
      <c r="D80" s="560" t="s">
        <v>128</v>
      </c>
      <c r="E80" s="528" t="s">
        <v>385</v>
      </c>
      <c r="F80" s="529" cm="1">
        <f t="array" ref="F80">SUM(_xlfn._xlws.FILTER(Table1[CY 2025], (Table1[Modeled]="Yes")*(Table1[State] = "AZ-CAWCD")))</f>
        <v>125503</v>
      </c>
      <c r="G80" s="529" cm="1">
        <f t="array" ref="G80">SUM(_xlfn._xlws.FILTER(Table1[CY 2026], (Table1[Modeled]="Yes")*(Table1[State] = "AZ-CAWCD")))</f>
        <v>98800</v>
      </c>
      <c r="H80" s="529" cm="1">
        <f t="array" ref="H80">SUM(_xlfn._xlws.FILTER(Table1[CY 2027], (Table1[Modeled]="Yes")*(Table1[State] = "AZ-CAWCD")))</f>
        <v>7224</v>
      </c>
      <c r="I80" s="524">
        <f t="shared" ref="I80:I101" si="11">SUM(F80:H80)</f>
        <v>231527</v>
      </c>
      <c r="J80"/>
    </row>
    <row r="81" spans="4:10" ht="16.350000000000001" customHeight="1" x14ac:dyDescent="0.3">
      <c r="D81" s="560"/>
      <c r="E81" s="458" t="s">
        <v>423</v>
      </c>
      <c r="F81" s="453" cm="1">
        <f t="array" ref="F81">_xlfn._xlws.FILTER(Table1[CY 2025],(Table1[Contractor]="Cathcart"))</f>
        <v>60.5</v>
      </c>
      <c r="G81" s="453" cm="1">
        <f t="array" ref="G81">_xlfn._xlws.FILTER(Table1[CY 2026],(Table1[Contractor]="Cathcart"))</f>
        <v>61</v>
      </c>
      <c r="H81" s="453" cm="1">
        <f t="array" ref="H81">_xlfn._xlws.FILTER(Table1[CY 2027],(Table1[Contractor]="Cathcart"))</f>
        <v>0</v>
      </c>
      <c r="I81" s="474">
        <f t="shared" si="11"/>
        <v>121.5</v>
      </c>
      <c r="J81"/>
    </row>
    <row r="82" spans="4:10" ht="16.350000000000001" customHeight="1" x14ac:dyDescent="0.3">
      <c r="D82" s="560"/>
      <c r="E82" s="459" t="s">
        <v>389</v>
      </c>
      <c r="F82" s="456" cm="1">
        <f t="array" ref="F82">_xlfn._xlws.FILTER(Table1[CY 2025],(Table1[Contractor]="CVIDD"))</f>
        <v>2328</v>
      </c>
      <c r="G82" s="456" cm="1">
        <f t="array" ref="G82">_xlfn._xlws.FILTER(Table1[CY 2026],(Table1[Contractor]="CVIDD"))</f>
        <v>2329</v>
      </c>
      <c r="H82" s="456" cm="1">
        <f t="array" ref="H82">_xlfn._xlws.FILTER(Table1[CY 2027],(Table1[Contractor]="CVIDD"))</f>
        <v>0</v>
      </c>
      <c r="I82" s="475">
        <f t="shared" si="11"/>
        <v>4657</v>
      </c>
      <c r="J82"/>
    </row>
    <row r="83" spans="4:10" ht="16.350000000000001" customHeight="1" x14ac:dyDescent="0.3">
      <c r="D83" s="560"/>
      <c r="E83" s="452" t="s">
        <v>386</v>
      </c>
      <c r="F83" s="453" cm="1">
        <f t="array" ref="F83">_xlfn._xlws.FILTER(Table1[CY 2025],(Table1[Contractor]="FMYN"))</f>
        <v>13933</v>
      </c>
      <c r="G83" s="453" cm="1">
        <f t="array" ref="G83">_xlfn._xlws.FILTER(Table1[CY 2026],(Table1[Contractor]="FMYN"))</f>
        <v>13933</v>
      </c>
      <c r="H83" s="453" cm="1">
        <f t="array" ref="H83">_xlfn._xlws.FILTER(Table1[CY 2027],(Table1[Contractor]="FMYN"))</f>
        <v>0</v>
      </c>
      <c r="I83" s="474">
        <f t="shared" si="11"/>
        <v>27866</v>
      </c>
      <c r="J83"/>
    </row>
    <row r="84" spans="4:10" ht="16.350000000000001" customHeight="1" x14ac:dyDescent="0.3">
      <c r="D84" s="560"/>
      <c r="E84" s="459" t="s">
        <v>549</v>
      </c>
      <c r="F84" s="456" cm="1">
        <f t="array" ref="F84">_xlfn._xlws.FILTER(Table1[CY 2025],(Table1[Contractor]="GM Gabrych/Matador"))</f>
        <v>3240</v>
      </c>
      <c r="G84" s="456" cm="1">
        <f t="array" ref="G84">_xlfn._xlws.FILTER(Table1[CY 2026],(Table1[Contractor]="GM Gabrych/Matador"))</f>
        <v>3240</v>
      </c>
      <c r="H84" s="456" cm="1">
        <f t="array" ref="H84">_xlfn._xlws.FILTER(Table1[CY 2027],(Table1[Contractor]="GM Gabrych/Matador"))</f>
        <v>0</v>
      </c>
      <c r="I84" s="475">
        <f t="shared" si="11"/>
        <v>6480</v>
      </c>
      <c r="J84"/>
    </row>
    <row r="85" spans="4:10" ht="16.350000000000001" customHeight="1" x14ac:dyDescent="0.3">
      <c r="D85" s="560"/>
      <c r="E85" s="452" t="s">
        <v>85</v>
      </c>
      <c r="F85" s="453" cm="1">
        <f t="array" ref="F85">_xlfn._xlws.FILTER(Table1[CY 2025],(Table1[Contractor]="GRIC"))</f>
        <v>119561</v>
      </c>
      <c r="G85" s="453" cm="1">
        <f t="array" ref="G85">_xlfn._xlws.FILTER(Table1[CY 2026],(Table1[Contractor]="GRIC"))</f>
        <v>75363</v>
      </c>
      <c r="H85" s="453" cm="1">
        <f t="array" ref="H85">_xlfn._xlws.FILTER(Table1[CY 2027],(Table1[Contractor]="GRIC"))</f>
        <v>67581</v>
      </c>
      <c r="I85" s="474">
        <f t="shared" si="11"/>
        <v>262505</v>
      </c>
      <c r="J85"/>
    </row>
    <row r="86" spans="4:10" ht="16.350000000000001" customHeight="1" x14ac:dyDescent="0.3">
      <c r="D86" s="560"/>
      <c r="E86" s="455" t="s">
        <v>424</v>
      </c>
      <c r="F86" s="456" cm="1">
        <f t="array" ref="F86">_xlfn._xlws.FILTER(Table1[CY 2025],(Table1[Contractor]="Hopi"))</f>
        <v>3059</v>
      </c>
      <c r="G86" s="456" cm="1">
        <f t="array" ref="G86">_xlfn._xlws.FILTER(Table1[CY 2026],(Table1[Contractor]="Hopi"))</f>
        <v>3059</v>
      </c>
      <c r="H86" s="456" cm="1">
        <f t="array" ref="H86">_xlfn._xlws.FILTER(Table1[CY 2027],(Table1[Contractor]="Hopi"))</f>
        <v>0</v>
      </c>
      <c r="I86" s="475">
        <f t="shared" si="11"/>
        <v>6118</v>
      </c>
      <c r="J86"/>
    </row>
    <row r="87" spans="4:10" ht="16.350000000000001" customHeight="1" x14ac:dyDescent="0.3">
      <c r="D87" s="560"/>
      <c r="E87" s="458" t="s">
        <v>251</v>
      </c>
      <c r="F87" s="453" cm="1">
        <f t="array" ref="F87">_xlfn._xlws.FILTER(Table1[CY 2025],(Table1[Contractor]="MVIDD"))</f>
        <v>13694</v>
      </c>
      <c r="G87" s="453" cm="1">
        <f t="array" ref="G87">_xlfn._xlws.FILTER(Table1[CY 2026],(Table1[Contractor]="MVIDD"))</f>
        <v>14184</v>
      </c>
      <c r="H87" s="453" cm="1">
        <f t="array" ref="H87">_xlfn._xlws.FILTER(Table1[CY 2027],(Table1[Contractor]="MVIDD"))</f>
        <v>0</v>
      </c>
      <c r="I87" s="474">
        <f t="shared" si="11"/>
        <v>27878</v>
      </c>
      <c r="J87"/>
    </row>
    <row r="88" spans="4:10" ht="16.350000000000001" customHeight="1" x14ac:dyDescent="0.3">
      <c r="D88" s="560"/>
      <c r="E88" s="455" t="s">
        <v>387</v>
      </c>
      <c r="F88" s="547" cm="1">
        <f t="array" ref="F88">_xlfn._xlws.FILTER(Table1[CY 2025],(Table1[Contractor]="SCAT"))</f>
        <v>23451</v>
      </c>
      <c r="G88" s="547" cm="1">
        <f t="array" ref="G88">_xlfn._xlws.FILTER(Table1[CY 2026],(Table1[Contractor]="SCAT"))</f>
        <v>23451</v>
      </c>
      <c r="H88" s="460" cm="1">
        <f t="array" ref="H88">_xlfn._xlws.FILTER(Table1[CY 2027],(Table1[Contractor]="SCAT"))</f>
        <v>0</v>
      </c>
      <c r="I88" s="475">
        <f t="shared" si="11"/>
        <v>46902</v>
      </c>
      <c r="J88"/>
    </row>
    <row r="89" spans="4:10" ht="16.350000000000001" customHeight="1" thickBot="1" x14ac:dyDescent="0.35">
      <c r="D89" s="561"/>
      <c r="E89" s="461" t="s">
        <v>255</v>
      </c>
      <c r="F89" s="462" cm="1">
        <f t="array" ref="F89">_xlfn._xlws.FILTER(Table1[CY 2025],(Table1[Contractor]="YMIDD"))</f>
        <v>23615</v>
      </c>
      <c r="G89" s="462" cm="1">
        <f t="array" ref="G89">_xlfn._xlws.FILTER(Table1[CY 2026],(Table1[Contractor]="YMIDD"))</f>
        <v>23893</v>
      </c>
      <c r="H89" s="462" cm="1">
        <f t="array" ref="H89">_xlfn._xlws.FILTER(Table1[CY 2027],(Table1[Contractor]="YMIDD"))</f>
        <v>0</v>
      </c>
      <c r="I89" s="526">
        <f t="shared" si="11"/>
        <v>47508</v>
      </c>
      <c r="J89"/>
    </row>
    <row r="90" spans="4:10" ht="16.350000000000001" customHeight="1" x14ac:dyDescent="0.3">
      <c r="D90" s="562" t="s">
        <v>126</v>
      </c>
      <c r="E90" s="455" t="s">
        <v>388</v>
      </c>
      <c r="F90" s="529" cm="1">
        <f t="array" ref="F90">_xlfn._xlws.FILTER(Table1[CY 2025],(Table1[Contractor]="CVWD Grd Wtr Replnt"))</f>
        <v>35000</v>
      </c>
      <c r="G90" s="529" cm="1">
        <f t="array" ref="G90">_xlfn._xlws.FILTER(Table1[CY 2026],(Table1[Contractor]="CVWD Grd Wtr Replnt"))</f>
        <v>35000</v>
      </c>
      <c r="H90" s="529" cm="1">
        <f t="array" ref="H90">_xlfn._xlws.FILTER(Table1[CY 2027],(Table1[Contractor]="CVWD Grd Wtr Replnt"))</f>
        <v>0</v>
      </c>
      <c r="I90" s="524">
        <f t="shared" si="11"/>
        <v>70000</v>
      </c>
      <c r="J90"/>
    </row>
    <row r="91" spans="4:10" ht="16.350000000000001" customHeight="1" x14ac:dyDescent="0.3">
      <c r="D91" s="563"/>
      <c r="E91" s="452" t="s">
        <v>453</v>
      </c>
      <c r="F91" s="453" cm="1">
        <f t="array" ref="F91">_xlfn._xlws.FILTER(Table1[CY 2025],(Table1[Contractor]="CVWD Fallowing"))</f>
        <v>3889</v>
      </c>
      <c r="G91" s="453" cm="1">
        <f t="array" ref="G91">_xlfn._xlws.FILTER(Table1[CY 2026],(Table1[Contractor]="CVWD Fallowing"))</f>
        <v>6511</v>
      </c>
      <c r="H91" s="453" cm="1">
        <f t="array" ref="H91">_xlfn._xlws.FILTER(Table1[CY 2027],(Table1[Contractor]="CVWD Fallowing"))</f>
        <v>0</v>
      </c>
      <c r="I91" s="474">
        <f t="shared" si="11"/>
        <v>10400</v>
      </c>
      <c r="J91"/>
    </row>
    <row r="92" spans="4:10" ht="16.350000000000001" customHeight="1" x14ac:dyDescent="0.3">
      <c r="D92" s="563"/>
      <c r="E92" s="455" t="s">
        <v>273</v>
      </c>
      <c r="F92" s="456" cm="1">
        <f t="array" ref="F92">_xlfn._xlws.FILTER(Table1[CY 2025],(Table1[Contractor]="IID 2023-2026"))</f>
        <v>250000</v>
      </c>
      <c r="G92" s="456" cm="1">
        <f t="array" ref="G92">_xlfn._xlws.FILTER(Table1[CY 2026],(Table1[Contractor]="IID 2023-2026"))</f>
        <v>192360</v>
      </c>
      <c r="H92" s="456" cm="1">
        <f t="array" ref="H92">_xlfn._xlws.FILTER(Table1[CY 2027],(Table1[Contractor]="IID 2023-2026"))</f>
        <v>0</v>
      </c>
      <c r="I92" s="475">
        <f t="shared" si="11"/>
        <v>442360</v>
      </c>
      <c r="J92"/>
    </row>
    <row r="93" spans="4:10" ht="16.350000000000001" customHeight="1" x14ac:dyDescent="0.3">
      <c r="D93" s="563"/>
      <c r="E93" s="501" t="s">
        <v>432</v>
      </c>
      <c r="F93" s="552">
        <f>_xlfn.XLOOKUP("MWD - ICS (delivery or creation)",'2025'!$A$1:$A$61,'2025'!$B$1:$B$61)*-1</f>
        <v>27437</v>
      </c>
      <c r="G93" s="453">
        <v>0</v>
      </c>
      <c r="H93" s="552">
        <f>-'2027'!B8</f>
        <v>0</v>
      </c>
      <c r="I93" s="474">
        <f t="shared" si="11"/>
        <v>27437</v>
      </c>
      <c r="J93" s="553" t="s">
        <v>534</v>
      </c>
    </row>
    <row r="94" spans="4:10" ht="16.350000000000001" customHeight="1" x14ac:dyDescent="0.3">
      <c r="D94" s="563"/>
      <c r="E94" s="505" t="s">
        <v>530</v>
      </c>
      <c r="F94" s="552">
        <f>_xlfn.XLOOKUP("MWD B2 System Conservation",'2025'!$A$1:$A$61,'2025'!$B$1:$B$61)*-1</f>
        <v>242286</v>
      </c>
      <c r="G94" s="552">
        <f>_xlfn.XLOOKUP("MWD B2 System Conservation",'2026'!$A$1:$A$61,'2026'!$B$1:$B$61)*-1</f>
        <v>0</v>
      </c>
      <c r="H94" s="456">
        <f>_xlfn.XLOOKUP("California- Water left in Mead",'2027'!$A$1:$A$61,'2027'!$B$1:$B$61)*-1</f>
        <v>0</v>
      </c>
      <c r="I94" s="475">
        <f t="shared" si="11"/>
        <v>242286</v>
      </c>
      <c r="J94" t="s">
        <v>526</v>
      </c>
    </row>
    <row r="95" spans="4:10" ht="16.350000000000001" customHeight="1" x14ac:dyDescent="0.3">
      <c r="D95" s="563"/>
      <c r="E95" s="503" t="s">
        <v>426</v>
      </c>
      <c r="F95" s="453" cm="1">
        <f t="array" ref="F95">_xlfn._xlws.FILTER(Table1[CY 2025],(Table1[Contractor]="PVID"))</f>
        <v>117021</v>
      </c>
      <c r="G95" s="453" cm="1">
        <f t="array" ref="G95">_xlfn._xlws.FILTER(Table1[CY 2026],(Table1[Contractor]="PVID"))</f>
        <v>119338</v>
      </c>
      <c r="H95" s="453" cm="1">
        <f t="array" ref="H95">_xlfn._xlws.FILTER(Table1[CY 2027],(Table1[Contractor]="PVID"))</f>
        <v>0</v>
      </c>
      <c r="I95" s="474">
        <f t="shared" si="11"/>
        <v>236359</v>
      </c>
      <c r="J95" s="553" t="s">
        <v>534</v>
      </c>
    </row>
    <row r="96" spans="4:10" ht="16.350000000000001" customHeight="1" x14ac:dyDescent="0.3">
      <c r="D96" s="563"/>
      <c r="E96" s="505" t="s">
        <v>486</v>
      </c>
      <c r="F96" s="456" cm="1">
        <f t="array" ref="F96">_xlfn._xlws.FILTER(Table1[CY 2025],(Table1[Contractor]="Bard"))</f>
        <v>9286</v>
      </c>
      <c r="G96" s="456" cm="1">
        <f t="array" ref="G96">_xlfn._xlws.FILTER(Table1[CY 2026],(Table1[Contractor]="Bard"))</f>
        <v>11400</v>
      </c>
      <c r="H96" s="456" cm="1">
        <f t="array" ref="H96">_xlfn._xlws.FILTER(Table1[CY 2027],(Table1[Contractor]="Bard"))</f>
        <v>0</v>
      </c>
      <c r="I96" s="475">
        <f t="shared" si="11"/>
        <v>20686</v>
      </c>
      <c r="J96"/>
    </row>
    <row r="97" spans="4:12" ht="16.350000000000001" customHeight="1" thickBot="1" x14ac:dyDescent="0.35">
      <c r="D97" s="564"/>
      <c r="E97" s="522" t="s">
        <v>425</v>
      </c>
      <c r="F97" s="531" cm="1">
        <f t="array" ref="F97">_xlfn._xlws.FILTER(Table1[CY 2025],(Table1[Contractor]="Quechan"))</f>
        <v>13000</v>
      </c>
      <c r="G97" s="532" cm="1">
        <f t="array" ref="G97">_xlfn._xlws.FILTER(Table1[CY 2026],(Table1[Contractor]="Quechan"))</f>
        <v>13000</v>
      </c>
      <c r="H97" s="533" cm="1">
        <f t="array" ref="H97">_xlfn._xlws.FILTER(Table1[CY 2027],(Table1[Contractor]="Quechan"))</f>
        <v>0</v>
      </c>
      <c r="I97" s="526">
        <f t="shared" si="11"/>
        <v>26000</v>
      </c>
      <c r="J97"/>
    </row>
    <row r="98" spans="4:12" ht="16.350000000000001" customHeight="1" x14ac:dyDescent="0.3">
      <c r="D98" s="565" t="s">
        <v>127</v>
      </c>
      <c r="E98" s="521" t="s">
        <v>525</v>
      </c>
      <c r="F98" s="554">
        <f>_xlfn.XLOOKUP("System Conservation (in additon to tributary)",'2025'!$A$1:$A$62,'2025'!$B$1:$B$62)*-1</f>
        <v>87000</v>
      </c>
      <c r="G98" s="554">
        <f>_xlfn.XLOOKUP("System Conservation (in additon to tributary)",'2026'!$A$1:$A$61,'2026'!$B$1:$B$61)*-1</f>
        <v>89000</v>
      </c>
      <c r="H98" s="523">
        <f>_xlfn.XLOOKUP("System Conservation (in additon to tributary)",'2027'!$A$1:$A$61,'2027'!$B$1:$B$61)*-1</f>
        <v>0</v>
      </c>
      <c r="I98" s="524">
        <f t="shared" si="11"/>
        <v>176000</v>
      </c>
      <c r="J98" t="s">
        <v>524</v>
      </c>
      <c r="L98" s="437">
        <f>189000-G98-F98</f>
        <v>13000</v>
      </c>
    </row>
    <row r="99" spans="4:12" ht="16.350000000000001" customHeight="1" thickBot="1" x14ac:dyDescent="0.35">
      <c r="D99" s="566"/>
      <c r="E99" s="522" t="s">
        <v>529</v>
      </c>
      <c r="F99" s="525">
        <f>_xlfn.XLOOKUP("Tributary Conservation",'2025'!$A$1:$A$62,'2025'!$B$1:$B$62)</f>
        <v>35000</v>
      </c>
      <c r="G99" s="525">
        <f>_xlfn.XLOOKUP("Tributary Conservation",'2026'!$A$1:$A$61,'2026'!$B$1:$B$61)</f>
        <v>35000</v>
      </c>
      <c r="H99" s="525">
        <v>35000</v>
      </c>
      <c r="I99" s="526">
        <f t="shared" si="11"/>
        <v>105000</v>
      </c>
      <c r="J99" t="s">
        <v>527</v>
      </c>
    </row>
    <row r="100" spans="4:12" ht="16.350000000000001" customHeight="1" x14ac:dyDescent="0.3">
      <c r="D100" s="562" t="s">
        <v>520</v>
      </c>
      <c r="E100" s="521" t="s">
        <v>427</v>
      </c>
      <c r="F100" s="549" cm="1">
        <f t="array" ref="F100">_xlfn._xlws.FILTER(Table1[CY 2025],(Table1[Contractor]="242 Wellfield"))</f>
        <v>32000</v>
      </c>
      <c r="G100" s="549" cm="1">
        <f t="array" ref="G100">_xlfn._xlws.FILTER(Table1[CY 2026],(Table1[Contractor]="242 Wellfield"))</f>
        <v>50000</v>
      </c>
      <c r="H100" s="523" cm="1">
        <f t="array" ref="H100">_xlfn._xlws.FILTER(Table1[CY 2027],(Table1[Contractor]="242 Wellfield"))</f>
        <v>0</v>
      </c>
      <c r="I100" s="524">
        <f t="shared" si="11"/>
        <v>82000</v>
      </c>
      <c r="J100"/>
    </row>
    <row r="101" spans="4:12" ht="16.350000000000001" customHeight="1" thickBot="1" x14ac:dyDescent="0.35">
      <c r="D101" s="569"/>
      <c r="E101" s="522" t="s">
        <v>458</v>
      </c>
      <c r="F101" s="550">
        <f>-1*('2025'!B26+'2025'!B13)</f>
        <v>3346</v>
      </c>
      <c r="G101" s="550">
        <f>-1*('2026'!B26+'2026'!B13)</f>
        <v>3197</v>
      </c>
      <c r="H101" s="525">
        <f>-1*('2027'!B26+'2027'!B13)</f>
        <v>145</v>
      </c>
      <c r="I101" s="526">
        <f t="shared" si="11"/>
        <v>6688</v>
      </c>
      <c r="J101"/>
    </row>
    <row r="102" spans="4:12" ht="16.350000000000001" customHeight="1" x14ac:dyDescent="0.3">
      <c r="D102" s="567"/>
      <c r="E102" s="534" t="s">
        <v>437</v>
      </c>
      <c r="F102" s="535">
        <f>SUM(F80:F101)</f>
        <v>1183709.5</v>
      </c>
      <c r="G102" s="535">
        <f t="shared" ref="G102:H102" si="12">SUM(G80:G101)</f>
        <v>813119</v>
      </c>
      <c r="H102" s="535">
        <f t="shared" si="12"/>
        <v>109950</v>
      </c>
      <c r="I102" s="536">
        <f>SUM(F102:H102)</f>
        <v>2106778.5</v>
      </c>
      <c r="J102"/>
    </row>
    <row r="103" spans="4:12" ht="16.350000000000001" customHeight="1" thickBot="1" x14ac:dyDescent="0.35">
      <c r="D103" s="568"/>
      <c r="E103" s="527" t="s">
        <v>391</v>
      </c>
      <c r="F103" s="525">
        <f>F102</f>
        <v>1183709.5</v>
      </c>
      <c r="G103" s="525">
        <f>F103+G102</f>
        <v>1996828.5</v>
      </c>
      <c r="H103" s="525">
        <f>G103+H102</f>
        <v>2106778.5</v>
      </c>
      <c r="I103" s="526"/>
      <c r="J103"/>
    </row>
    <row r="104" spans="4:12" ht="14.4" x14ac:dyDescent="0.3">
      <c r="E104" s="436" t="s">
        <v>532</v>
      </c>
      <c r="F104" s="548">
        <f>F102-F88-F100-F101</f>
        <v>1124912.5</v>
      </c>
      <c r="G104" s="548">
        <f>G102-G88-G100-G101</f>
        <v>736471</v>
      </c>
      <c r="J104"/>
    </row>
    <row r="107" spans="4:12" x14ac:dyDescent="0.25">
      <c r="E107" s="541" t="s">
        <v>200</v>
      </c>
      <c r="F107" s="540">
        <v>2025</v>
      </c>
      <c r="G107" s="540">
        <v>2026</v>
      </c>
      <c r="H107" s="540">
        <v>2027</v>
      </c>
      <c r="I107" s="540" t="s">
        <v>174</v>
      </c>
    </row>
    <row r="108" spans="4:12" x14ac:dyDescent="0.25">
      <c r="E108" s="541" t="s">
        <v>128</v>
      </c>
      <c r="F108" s="542">
        <f>SUM(F80:F89)+F100-'2025'!B26</f>
        <v>363645.5</v>
      </c>
      <c r="G108" s="542">
        <f>SUM(G80:G89)+G100-'2026'!B26</f>
        <v>311365</v>
      </c>
      <c r="H108" s="542">
        <f>SUM(H80:H89)+H100-'2027'!B26</f>
        <v>74805</v>
      </c>
      <c r="I108" s="542">
        <f>SUM(F108:H108)</f>
        <v>749815.5</v>
      </c>
    </row>
    <row r="109" spans="4:12" x14ac:dyDescent="0.25">
      <c r="E109" s="541" t="s">
        <v>126</v>
      </c>
      <c r="F109" s="542">
        <f>SUM(F90:F97)-'2025'!B13</f>
        <v>698064</v>
      </c>
      <c r="G109" s="542">
        <f>SUM(G90:G97)-'2026'!B13</f>
        <v>377754</v>
      </c>
      <c r="H109" s="542">
        <f>SUM(H90:H97)-'2027'!B13</f>
        <v>145</v>
      </c>
      <c r="I109" s="542">
        <f>SUM(F109:H109)</f>
        <v>1075963</v>
      </c>
    </row>
    <row r="110" spans="4:12" x14ac:dyDescent="0.25">
      <c r="E110" s="541" t="s">
        <v>127</v>
      </c>
      <c r="F110" s="542">
        <f>SUM(F98:F99)</f>
        <v>122000</v>
      </c>
      <c r="G110" s="542">
        <f t="shared" ref="G110:H110" si="13">SUM(G98:G99)</f>
        <v>124000</v>
      </c>
      <c r="H110" s="542">
        <f t="shared" si="13"/>
        <v>35000</v>
      </c>
      <c r="I110" s="542">
        <f>SUM(F110:H110)</f>
        <v>281000</v>
      </c>
    </row>
    <row r="111" spans="4:12" x14ac:dyDescent="0.25">
      <c r="E111" s="541" t="s">
        <v>437</v>
      </c>
      <c r="F111" s="542">
        <f>SUM(F108:F110)</f>
        <v>1183709.5</v>
      </c>
      <c r="G111" s="542">
        <f>SUM(G108:G110)</f>
        <v>813119</v>
      </c>
      <c r="H111" s="542">
        <f>SUM(H108:H110)</f>
        <v>109950</v>
      </c>
      <c r="I111" s="542">
        <f>SUM(I108:I110)</f>
        <v>2106778.5</v>
      </c>
    </row>
    <row r="112" spans="4:12" x14ac:dyDescent="0.25">
      <c r="E112" s="541" t="s">
        <v>391</v>
      </c>
      <c r="F112" s="542">
        <f>F111</f>
        <v>1183709.5</v>
      </c>
      <c r="G112" s="542">
        <f>G111+F112</f>
        <v>1996828.5</v>
      </c>
      <c r="H112" s="542">
        <f>H111+G112</f>
        <v>2106778.5</v>
      </c>
      <c r="I112" s="543"/>
    </row>
    <row r="118" spans="5:7" x14ac:dyDescent="0.25">
      <c r="E118" s="433" t="s">
        <v>535</v>
      </c>
      <c r="F118" s="433" t="s">
        <v>536</v>
      </c>
      <c r="G118" s="433" t="s">
        <v>225</v>
      </c>
    </row>
    <row r="119" spans="5:7" x14ac:dyDescent="0.25">
      <c r="E119" s="541">
        <v>2023</v>
      </c>
      <c r="F119" s="542">
        <v>1160697</v>
      </c>
      <c r="G119" s="542">
        <v>1160697</v>
      </c>
    </row>
    <row r="120" spans="5:7" x14ac:dyDescent="0.25">
      <c r="E120" s="541">
        <v>2024</v>
      </c>
      <c r="F120" s="542">
        <v>871014</v>
      </c>
      <c r="G120" s="542">
        <f>G119+F120</f>
        <v>2031711</v>
      </c>
    </row>
    <row r="121" spans="5:7" x14ac:dyDescent="0.25">
      <c r="E121" s="541">
        <v>2025</v>
      </c>
      <c r="F121" s="542">
        <f>F104</f>
        <v>1124912.5</v>
      </c>
      <c r="G121" s="542">
        <f t="shared" ref="G121:G122" si="14">G120+F121</f>
        <v>3156623.5</v>
      </c>
    </row>
    <row r="122" spans="5:7" x14ac:dyDescent="0.25">
      <c r="E122" s="541">
        <v>2026</v>
      </c>
      <c r="F122" s="542">
        <f>G104</f>
        <v>736471</v>
      </c>
      <c r="G122" s="542">
        <f t="shared" si="14"/>
        <v>3893094.5</v>
      </c>
    </row>
  </sheetData>
  <sortState xmlns:xlrd2="http://schemas.microsoft.com/office/spreadsheetml/2017/richdata2" ref="B28:K47">
    <sortCondition ref="C28:C47"/>
  </sortState>
  <mergeCells count="13">
    <mergeCell ref="W3:W13"/>
    <mergeCell ref="W22:W23"/>
    <mergeCell ref="W24:W25"/>
    <mergeCell ref="D73:D74"/>
    <mergeCell ref="D71:D72"/>
    <mergeCell ref="D52:D62"/>
    <mergeCell ref="W14:W21"/>
    <mergeCell ref="D63:D70"/>
    <mergeCell ref="D80:D89"/>
    <mergeCell ref="D90:D97"/>
    <mergeCell ref="D98:D99"/>
    <mergeCell ref="D102:D103"/>
    <mergeCell ref="D100:D101"/>
  </mergeCells>
  <pageMargins left="0.7" right="0.7" top="0.75" bottom="0.75" header="0.3" footer="0.3"/>
  <pageSetup orientation="portrait" r:id="rId1"/>
  <ignoredErrors>
    <ignoredError sqref="K48:K49 K74 F73:G73 F74:I74 F48:I49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49D0-0156-4D10-8C11-3D0E7E4CD6A6}">
  <sheetPr codeName="Sheet8"/>
  <dimension ref="A1:H44"/>
  <sheetViews>
    <sheetView tabSelected="1" zoomScale="110" zoomScaleNormal="110" workbookViewId="0">
      <selection activeCell="H31" sqref="H31"/>
    </sheetView>
  </sheetViews>
  <sheetFormatPr defaultColWidth="9.44140625" defaultRowHeight="13.2" x14ac:dyDescent="0.25"/>
  <cols>
    <col min="1" max="1" width="9.44140625" style="425"/>
    <col min="2" max="2" width="10" style="425" customWidth="1"/>
    <col min="3" max="3" width="12.5546875" style="425" bestFit="1" customWidth="1"/>
    <col min="4" max="4" width="14" style="425" bestFit="1" customWidth="1"/>
    <col min="5" max="5" width="9.44140625" style="425"/>
    <col min="6" max="6" width="12.5546875" style="425" bestFit="1" customWidth="1"/>
    <col min="7" max="16384" width="9.44140625" style="425"/>
  </cols>
  <sheetData>
    <row r="1" spans="1:7" x14ac:dyDescent="0.25">
      <c r="A1" s="426" t="s">
        <v>151</v>
      </c>
    </row>
    <row r="2" spans="1:7" x14ac:dyDescent="0.25">
      <c r="A2" s="427">
        <v>46031</v>
      </c>
    </row>
    <row r="3" spans="1:7" x14ac:dyDescent="0.25">
      <c r="A3" s="422"/>
      <c r="B3" s="262">
        <v>2026</v>
      </c>
      <c r="C3" s="262">
        <v>2027</v>
      </c>
      <c r="D3" s="262">
        <v>2028</v>
      </c>
    </row>
    <row r="4" spans="1:7" x14ac:dyDescent="0.25">
      <c r="A4" s="263" t="s">
        <v>128</v>
      </c>
      <c r="B4" s="423">
        <v>600000</v>
      </c>
      <c r="C4" s="423">
        <v>599741</v>
      </c>
      <c r="D4" s="423"/>
      <c r="G4" s="424"/>
    </row>
    <row r="5" spans="1:7" x14ac:dyDescent="0.25">
      <c r="A5" s="263" t="s">
        <v>126</v>
      </c>
      <c r="B5" s="423">
        <v>1650000</v>
      </c>
      <c r="C5" s="423">
        <v>1650000</v>
      </c>
      <c r="D5" s="423"/>
      <c r="G5" s="424"/>
    </row>
    <row r="6" spans="1:7" x14ac:dyDescent="0.25">
      <c r="A6" s="263" t="s">
        <v>127</v>
      </c>
      <c r="B6" s="423">
        <v>450000</v>
      </c>
      <c r="C6" s="423">
        <v>450259</v>
      </c>
      <c r="D6" s="423"/>
      <c r="E6" s="424"/>
      <c r="F6" s="424"/>
      <c r="G6" s="424"/>
    </row>
    <row r="7" spans="1:7" x14ac:dyDescent="0.25">
      <c r="A7" s="263" t="s">
        <v>174</v>
      </c>
      <c r="B7" s="264">
        <f t="shared" ref="B7" si="0">SUM(B4:B6)</f>
        <v>2700000</v>
      </c>
      <c r="C7" s="264">
        <f t="shared" ref="C7:D7" si="1">SUM(C4:C6)</f>
        <v>2700000</v>
      </c>
      <c r="D7" s="264">
        <f t="shared" si="1"/>
        <v>0</v>
      </c>
    </row>
    <row r="8" spans="1:7" x14ac:dyDescent="0.25">
      <c r="B8" s="424">
        <f>B7-2700000</f>
        <v>0</v>
      </c>
      <c r="C8" s="424">
        <f>C7-2700000</f>
        <v>0</v>
      </c>
      <c r="D8" s="424">
        <f>D7-2700000</f>
        <v>-2700000</v>
      </c>
    </row>
    <row r="9" spans="1:7" x14ac:dyDescent="0.25">
      <c r="D9" s="424"/>
    </row>
    <row r="10" spans="1:7" x14ac:dyDescent="0.25">
      <c r="B10" s="424"/>
    </row>
    <row r="11" spans="1:7" x14ac:dyDescent="0.25">
      <c r="A11" s="427"/>
    </row>
    <row r="13" spans="1:7" x14ac:dyDescent="0.25">
      <c r="A13" s="428" t="s">
        <v>153</v>
      </c>
    </row>
    <row r="14" spans="1:7" x14ac:dyDescent="0.25">
      <c r="A14" s="427">
        <f>A2</f>
        <v>46031</v>
      </c>
    </row>
    <row r="15" spans="1:7" x14ac:dyDescent="0.25">
      <c r="A15" s="422"/>
      <c r="B15" s="262">
        <v>2026</v>
      </c>
      <c r="C15" s="262">
        <v>2027</v>
      </c>
      <c r="D15" s="262">
        <v>2028</v>
      </c>
      <c r="F15" s="424"/>
    </row>
    <row r="16" spans="1:7" x14ac:dyDescent="0.25">
      <c r="A16" s="263" t="s">
        <v>128</v>
      </c>
      <c r="B16" s="423">
        <v>600000</v>
      </c>
      <c r="C16" s="423">
        <v>599741</v>
      </c>
      <c r="D16" s="423">
        <v>0</v>
      </c>
      <c r="F16" s="424"/>
    </row>
    <row r="17" spans="1:8" x14ac:dyDescent="0.25">
      <c r="A17" s="263" t="s">
        <v>126</v>
      </c>
      <c r="B17" s="423">
        <v>1650000</v>
      </c>
      <c r="C17" s="423">
        <v>1650000</v>
      </c>
      <c r="D17" s="423">
        <v>0</v>
      </c>
      <c r="F17" s="424"/>
      <c r="H17" s="424"/>
    </row>
    <row r="18" spans="1:8" x14ac:dyDescent="0.25">
      <c r="A18" s="263" t="s">
        <v>127</v>
      </c>
      <c r="B18" s="423">
        <v>450000</v>
      </c>
      <c r="C18" s="423">
        <v>450259</v>
      </c>
      <c r="D18" s="423">
        <v>0</v>
      </c>
      <c r="E18" s="424"/>
      <c r="F18" s="424"/>
    </row>
    <row r="19" spans="1:8" x14ac:dyDescent="0.25">
      <c r="A19" s="263" t="s">
        <v>174</v>
      </c>
      <c r="B19" s="264">
        <f t="shared" ref="B19:C19" si="2">SUM(B16:B18)</f>
        <v>2700000</v>
      </c>
      <c r="C19" s="264">
        <f t="shared" si="2"/>
        <v>2700000</v>
      </c>
      <c r="D19" s="264">
        <f t="shared" ref="D19" si="3">SUM(D16:D18)</f>
        <v>0</v>
      </c>
      <c r="F19" s="424"/>
    </row>
    <row r="20" spans="1:8" x14ac:dyDescent="0.25">
      <c r="B20" s="424"/>
      <c r="C20" s="424">
        <f t="shared" ref="C20:D20" si="4">C19-2700000</f>
        <v>0</v>
      </c>
      <c r="D20" s="424">
        <f t="shared" si="4"/>
        <v>-2700000</v>
      </c>
    </row>
    <row r="21" spans="1:8" x14ac:dyDescent="0.25">
      <c r="C21" s="424"/>
      <c r="D21" s="424"/>
    </row>
    <row r="22" spans="1:8" x14ac:dyDescent="0.25">
      <c r="C22" s="424"/>
      <c r="D22" s="424"/>
    </row>
    <row r="23" spans="1:8" x14ac:dyDescent="0.25">
      <c r="C23" s="424"/>
      <c r="D23" s="424">
        <f>2700000-C23</f>
        <v>2700000</v>
      </c>
    </row>
    <row r="24" spans="1:8" x14ac:dyDescent="0.25">
      <c r="A24" s="429" t="s">
        <v>154</v>
      </c>
    </row>
    <row r="25" spans="1:8" x14ac:dyDescent="0.25">
      <c r="A25" s="427">
        <f>A2</f>
        <v>46031</v>
      </c>
    </row>
    <row r="26" spans="1:8" x14ac:dyDescent="0.25">
      <c r="A26" s="422"/>
      <c r="B26" s="262">
        <v>2026</v>
      </c>
      <c r="C26" s="262">
        <v>2027</v>
      </c>
      <c r="D26" s="262">
        <v>2028</v>
      </c>
    </row>
    <row r="27" spans="1:8" x14ac:dyDescent="0.25">
      <c r="A27" s="263" t="s">
        <v>128</v>
      </c>
      <c r="B27" s="423">
        <v>664179</v>
      </c>
      <c r="C27" s="423">
        <v>656789</v>
      </c>
      <c r="D27" s="423"/>
    </row>
    <row r="28" spans="1:8" x14ac:dyDescent="0.25">
      <c r="A28" s="263" t="s">
        <v>126</v>
      </c>
      <c r="B28" s="423">
        <v>1419799</v>
      </c>
      <c r="C28" s="423">
        <v>1169574</v>
      </c>
      <c r="D28" s="423"/>
    </row>
    <row r="29" spans="1:8" x14ac:dyDescent="0.25">
      <c r="A29" s="263" t="s">
        <v>127</v>
      </c>
      <c r="B29" s="423">
        <v>478362</v>
      </c>
      <c r="C29" s="423">
        <v>549462</v>
      </c>
      <c r="D29" s="423"/>
    </row>
    <row r="30" spans="1:8" x14ac:dyDescent="0.25">
      <c r="A30" s="263" t="s">
        <v>174</v>
      </c>
      <c r="B30" s="264">
        <f>SUM(B27:B29)</f>
        <v>2562340</v>
      </c>
      <c r="C30" s="264">
        <f t="shared" ref="C30:D30" si="5">SUM(C27:C29)</f>
        <v>2375825</v>
      </c>
      <c r="D30" s="264">
        <f t="shared" si="5"/>
        <v>0</v>
      </c>
    </row>
    <row r="31" spans="1:8" x14ac:dyDescent="0.25">
      <c r="B31" s="424"/>
      <c r="C31" s="424">
        <f t="shared" ref="C31" si="6">C30-2700000</f>
        <v>-324175</v>
      </c>
      <c r="D31" s="424">
        <f>D30-2700000</f>
        <v>-2700000</v>
      </c>
    </row>
    <row r="34" spans="1:4" x14ac:dyDescent="0.25">
      <c r="A34" s="430" t="s">
        <v>192</v>
      </c>
    </row>
    <row r="35" spans="1:4" x14ac:dyDescent="0.25">
      <c r="B35" s="425" t="s">
        <v>179</v>
      </c>
      <c r="C35" s="425" t="s">
        <v>180</v>
      </c>
      <c r="D35" s="425" t="s">
        <v>181</v>
      </c>
    </row>
    <row r="36" spans="1:4" x14ac:dyDescent="0.25">
      <c r="B36" s="425" t="s">
        <v>182</v>
      </c>
      <c r="C36" s="425" t="s">
        <v>182</v>
      </c>
      <c r="D36" s="425" t="s">
        <v>182</v>
      </c>
    </row>
    <row r="37" spans="1:4" x14ac:dyDescent="0.25">
      <c r="A37" s="425" t="s">
        <v>183</v>
      </c>
      <c r="B37" s="425">
        <v>691</v>
      </c>
      <c r="C37" s="425">
        <v>185</v>
      </c>
      <c r="D37" s="425">
        <v>300</v>
      </c>
    </row>
    <row r="38" spans="1:4" x14ac:dyDescent="0.25">
      <c r="A38" s="425" t="s">
        <v>184</v>
      </c>
      <c r="B38" s="425">
        <v>1417</v>
      </c>
      <c r="C38" s="425">
        <v>350</v>
      </c>
      <c r="D38" s="425">
        <v>400</v>
      </c>
    </row>
    <row r="39" spans="1:4" x14ac:dyDescent="0.25">
      <c r="A39" s="425" t="s">
        <v>185</v>
      </c>
      <c r="B39" s="425">
        <v>592</v>
      </c>
      <c r="C39" s="425">
        <v>90</v>
      </c>
      <c r="D39" s="425">
        <v>300</v>
      </c>
    </row>
    <row r="40" spans="1:4" x14ac:dyDescent="0.25">
      <c r="A40" s="425" t="s">
        <v>186</v>
      </c>
      <c r="B40" s="425">
        <v>1500</v>
      </c>
      <c r="C40" s="425">
        <v>250</v>
      </c>
      <c r="D40" s="425">
        <v>200</v>
      </c>
    </row>
    <row r="41" spans="1:4" x14ac:dyDescent="0.25">
      <c r="A41" s="425" t="s">
        <v>187</v>
      </c>
      <c r="B41" s="425">
        <v>1367</v>
      </c>
      <c r="C41" s="425" t="s">
        <v>188</v>
      </c>
      <c r="D41" s="425" t="s">
        <v>188</v>
      </c>
    </row>
    <row r="42" spans="1:4" x14ac:dyDescent="0.25">
      <c r="A42" s="425" t="s">
        <v>189</v>
      </c>
      <c r="B42" s="425">
        <v>50</v>
      </c>
      <c r="C42" s="425" t="s">
        <v>188</v>
      </c>
      <c r="D42" s="425" t="s">
        <v>188</v>
      </c>
    </row>
    <row r="43" spans="1:4" x14ac:dyDescent="0.25">
      <c r="A43" s="425" t="s">
        <v>190</v>
      </c>
      <c r="B43" s="425">
        <v>391</v>
      </c>
      <c r="C43" s="425" t="s">
        <v>188</v>
      </c>
      <c r="D43" s="425" t="s">
        <v>188</v>
      </c>
    </row>
    <row r="44" spans="1:4" x14ac:dyDescent="0.25">
      <c r="A44" s="425" t="s">
        <v>191</v>
      </c>
      <c r="B44" s="425">
        <v>300</v>
      </c>
      <c r="C44" s="425" t="s">
        <v>188</v>
      </c>
      <c r="D44" s="425" t="s">
        <v>188</v>
      </c>
    </row>
  </sheetData>
  <pageMargins left="0.7" right="0.7" top="0.75" bottom="0.75" header="0.3" footer="0.3"/>
  <pageSetup orientation="portrait" horizontalDpi="1200" verticalDpi="1200" r:id="rId1"/>
  <ignoredErrors>
    <ignoredError sqref="D19" formulaRange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AEC64-169B-48F4-90E5-17F604B87018}">
  <sheetPr codeName="Sheet13"/>
  <dimension ref="A1:AD84"/>
  <sheetViews>
    <sheetView topLeftCell="A54" zoomScale="120" zoomScaleNormal="120" workbookViewId="0">
      <selection activeCell="AC8" sqref="AC8:AC23"/>
    </sheetView>
  </sheetViews>
  <sheetFormatPr defaultColWidth="8.5546875" defaultRowHeight="14.4" x14ac:dyDescent="0.3"/>
  <cols>
    <col min="2" max="2" width="33" customWidth="1"/>
    <col min="3" max="3" width="6.5546875" customWidth="1"/>
    <col min="4" max="4" width="7.5546875" bestFit="1" customWidth="1"/>
    <col min="5" max="5" width="10" customWidth="1"/>
    <col min="6" max="6" width="7.5546875" bestFit="1" customWidth="1"/>
    <col min="10" max="10" width="30.5546875" customWidth="1"/>
    <col min="18" max="18" width="30.5546875" customWidth="1"/>
    <col min="19" max="19" width="15" customWidth="1"/>
    <col min="20" max="21" width="12.5546875" customWidth="1"/>
    <col min="26" max="26" width="33.5546875" customWidth="1"/>
    <col min="27" max="27" width="16.44140625" customWidth="1"/>
    <col min="28" max="28" width="18.44140625" customWidth="1"/>
    <col min="29" max="29" width="18.5546875" customWidth="1"/>
  </cols>
  <sheetData>
    <row r="1" spans="1:30" ht="18" x14ac:dyDescent="0.35">
      <c r="B1" s="271" t="s">
        <v>253</v>
      </c>
      <c r="J1" s="271" t="s">
        <v>360</v>
      </c>
      <c r="R1" s="271" t="s">
        <v>361</v>
      </c>
    </row>
    <row r="2" spans="1:30" x14ac:dyDescent="0.3">
      <c r="B2" s="272" t="s">
        <v>198</v>
      </c>
      <c r="J2" s="272" t="s">
        <v>227</v>
      </c>
      <c r="R2" s="272" t="s">
        <v>227</v>
      </c>
      <c r="Z2" t="s">
        <v>219</v>
      </c>
    </row>
    <row r="3" spans="1:30" ht="15" thickBot="1" x14ac:dyDescent="0.35">
      <c r="A3" s="273"/>
      <c r="B3" s="274"/>
      <c r="C3" s="275"/>
      <c r="D3" s="275"/>
      <c r="E3" s="275"/>
      <c r="F3" s="275"/>
      <c r="G3" s="276"/>
      <c r="I3" t="s">
        <v>102</v>
      </c>
      <c r="J3" s="274"/>
      <c r="K3" s="275"/>
      <c r="L3" s="275"/>
      <c r="M3" s="275"/>
      <c r="N3" s="275"/>
      <c r="R3" s="274"/>
      <c r="S3" s="275"/>
      <c r="T3" s="275"/>
      <c r="U3" s="275"/>
      <c r="V3" s="275"/>
    </row>
    <row r="4" spans="1:30" ht="15" thickBot="1" x14ac:dyDescent="0.35">
      <c r="A4" s="277"/>
      <c r="B4" s="590" t="s">
        <v>199</v>
      </c>
      <c r="C4" s="592" t="s">
        <v>200</v>
      </c>
      <c r="D4" s="594" t="s">
        <v>201</v>
      </c>
      <c r="E4" s="595"/>
      <c r="F4" s="596"/>
      <c r="G4" s="277"/>
      <c r="J4" s="590" t="s">
        <v>199</v>
      </c>
      <c r="K4" s="592" t="s">
        <v>200</v>
      </c>
      <c r="L4" s="594" t="s">
        <v>201</v>
      </c>
      <c r="M4" s="595"/>
      <c r="N4" s="596"/>
      <c r="R4" s="590" t="s">
        <v>199</v>
      </c>
      <c r="S4" s="592" t="s">
        <v>200</v>
      </c>
      <c r="T4" s="594" t="s">
        <v>201</v>
      </c>
      <c r="U4" s="595"/>
      <c r="V4" s="596"/>
      <c r="Z4" s="272" t="s">
        <v>227</v>
      </c>
    </row>
    <row r="5" spans="1:30" ht="15" thickBot="1" x14ac:dyDescent="0.35">
      <c r="A5" s="277"/>
      <c r="B5" s="591"/>
      <c r="C5" s="593"/>
      <c r="D5" s="278">
        <v>2021</v>
      </c>
      <c r="E5" s="279">
        <v>2022</v>
      </c>
      <c r="F5" s="280">
        <v>2023</v>
      </c>
      <c r="G5" s="277"/>
      <c r="J5" s="591"/>
      <c r="K5" s="593"/>
      <c r="L5" s="278">
        <v>2021</v>
      </c>
      <c r="M5" s="279">
        <v>2022</v>
      </c>
      <c r="N5" s="280">
        <v>2023</v>
      </c>
      <c r="R5" s="591"/>
      <c r="S5" s="593"/>
      <c r="T5" s="278">
        <v>2021</v>
      </c>
      <c r="U5" s="279">
        <v>2022</v>
      </c>
      <c r="V5" s="280">
        <v>2023</v>
      </c>
    </row>
    <row r="6" spans="1:30" x14ac:dyDescent="0.3">
      <c r="A6" s="277"/>
      <c r="B6" s="281" t="s">
        <v>202</v>
      </c>
      <c r="C6" s="282" t="s">
        <v>128</v>
      </c>
      <c r="D6" s="283">
        <v>0</v>
      </c>
      <c r="E6" s="284">
        <v>-69100</v>
      </c>
      <c r="F6" s="285">
        <v>-69100</v>
      </c>
      <c r="G6" s="277"/>
      <c r="J6" s="281" t="s">
        <v>202</v>
      </c>
      <c r="K6" s="282" t="s">
        <v>128</v>
      </c>
      <c r="L6" s="329">
        <v>6147</v>
      </c>
      <c r="M6" s="329">
        <v>-52841</v>
      </c>
      <c r="N6" s="285">
        <f>-'OLD 2023'!$B$28</f>
        <v>-28160</v>
      </c>
      <c r="R6" s="281" t="s">
        <v>202</v>
      </c>
      <c r="S6" s="282" t="s">
        <v>128</v>
      </c>
      <c r="T6" s="283">
        <f>L6-D6</f>
        <v>6147</v>
      </c>
      <c r="U6" s="284">
        <f t="shared" ref="U6:V25" si="0">M6-E6</f>
        <v>16259</v>
      </c>
      <c r="V6" s="285">
        <f t="shared" si="0"/>
        <v>40940</v>
      </c>
    </row>
    <row r="7" spans="1:30" x14ac:dyDescent="0.3">
      <c r="A7" s="277"/>
      <c r="B7" s="286" t="s">
        <v>203</v>
      </c>
      <c r="C7" s="287" t="s">
        <v>128</v>
      </c>
      <c r="D7" s="288">
        <v>50000</v>
      </c>
      <c r="E7" s="289">
        <v>50000</v>
      </c>
      <c r="F7" s="290">
        <v>0</v>
      </c>
      <c r="G7" s="277"/>
      <c r="J7" s="286" t="s">
        <v>203</v>
      </c>
      <c r="K7" s="287" t="s">
        <v>128</v>
      </c>
      <c r="L7" s="325">
        <v>50000</v>
      </c>
      <c r="M7" s="325">
        <v>50000</v>
      </c>
      <c r="N7" s="290">
        <v>0</v>
      </c>
      <c r="R7" s="286" t="s">
        <v>203</v>
      </c>
      <c r="S7" s="287" t="s">
        <v>128</v>
      </c>
      <c r="T7" s="288">
        <f t="shared" ref="T7:T17" si="1">L7-D7</f>
        <v>0</v>
      </c>
      <c r="U7" s="289">
        <f t="shared" si="0"/>
        <v>0</v>
      </c>
      <c r="V7" s="290">
        <f t="shared" si="0"/>
        <v>0</v>
      </c>
      <c r="Z7" s="322" t="s">
        <v>238</v>
      </c>
      <c r="AA7" s="324">
        <v>2021</v>
      </c>
      <c r="AB7" s="324" t="s">
        <v>262</v>
      </c>
      <c r="AC7" s="324" t="s">
        <v>239</v>
      </c>
    </row>
    <row r="8" spans="1:30" x14ac:dyDescent="0.3">
      <c r="A8" s="277"/>
      <c r="B8" s="286" t="s">
        <v>152</v>
      </c>
      <c r="C8" s="287" t="s">
        <v>128</v>
      </c>
      <c r="D8" s="288">
        <v>4685</v>
      </c>
      <c r="E8" s="289">
        <v>4685</v>
      </c>
      <c r="F8" s="290">
        <v>0</v>
      </c>
      <c r="G8" s="277"/>
      <c r="J8" s="286" t="s">
        <v>152</v>
      </c>
      <c r="K8" s="287" t="s">
        <v>128</v>
      </c>
      <c r="L8" s="325">
        <v>4685</v>
      </c>
      <c r="M8" s="325">
        <v>4685</v>
      </c>
      <c r="N8" s="290">
        <v>0</v>
      </c>
      <c r="R8" s="286" t="s">
        <v>152</v>
      </c>
      <c r="S8" s="287" t="s">
        <v>128</v>
      </c>
      <c r="T8" s="288">
        <f t="shared" si="1"/>
        <v>0</v>
      </c>
      <c r="U8" s="289">
        <f t="shared" si="0"/>
        <v>0</v>
      </c>
      <c r="V8" s="290">
        <f t="shared" si="0"/>
        <v>0</v>
      </c>
      <c r="Z8" s="318" t="s">
        <v>232</v>
      </c>
      <c r="AA8" s="319">
        <f>T6</f>
        <v>6147</v>
      </c>
      <c r="AB8" s="319">
        <f>U6</f>
        <v>16259</v>
      </c>
      <c r="AC8" s="319">
        <f>V6</f>
        <v>40940</v>
      </c>
    </row>
    <row r="9" spans="1:30" x14ac:dyDescent="0.3">
      <c r="A9" s="277"/>
      <c r="B9" s="286" t="s">
        <v>204</v>
      </c>
      <c r="C9" s="287" t="s">
        <v>128</v>
      </c>
      <c r="D9" s="288">
        <v>0</v>
      </c>
      <c r="E9" s="289">
        <v>0</v>
      </c>
      <c r="F9" s="290">
        <v>0</v>
      </c>
      <c r="G9" s="277"/>
      <c r="J9" s="286" t="s">
        <v>204</v>
      </c>
      <c r="K9" s="287" t="s">
        <v>128</v>
      </c>
      <c r="L9" s="325">
        <v>4685</v>
      </c>
      <c r="M9" s="325">
        <v>4685</v>
      </c>
      <c r="N9" s="290">
        <v>0</v>
      </c>
      <c r="R9" s="286" t="s">
        <v>204</v>
      </c>
      <c r="S9" s="287" t="s">
        <v>128</v>
      </c>
      <c r="T9" s="288">
        <f t="shared" si="1"/>
        <v>4685</v>
      </c>
      <c r="U9" s="289">
        <f t="shared" si="0"/>
        <v>4685</v>
      </c>
      <c r="V9" s="290">
        <f t="shared" si="0"/>
        <v>0</v>
      </c>
      <c r="Z9" s="318" t="s">
        <v>85</v>
      </c>
      <c r="AA9" s="319">
        <f>T12</f>
        <v>40000</v>
      </c>
      <c r="AB9" s="319">
        <f>U12</f>
        <v>58837</v>
      </c>
      <c r="AC9" s="319">
        <f>V12</f>
        <v>125000</v>
      </c>
    </row>
    <row r="10" spans="1:30" x14ac:dyDescent="0.3">
      <c r="A10" s="277"/>
      <c r="B10" s="286" t="s">
        <v>205</v>
      </c>
      <c r="C10" s="287" t="s">
        <v>128</v>
      </c>
      <c r="D10" s="288">
        <v>40000</v>
      </c>
      <c r="E10" s="289">
        <v>0</v>
      </c>
      <c r="F10" s="290">
        <v>0</v>
      </c>
      <c r="G10" s="277"/>
      <c r="J10" s="286" t="s">
        <v>205</v>
      </c>
      <c r="K10" s="287" t="s">
        <v>128</v>
      </c>
      <c r="L10" s="325">
        <v>40000</v>
      </c>
      <c r="M10" s="325">
        <v>78565</v>
      </c>
      <c r="N10" s="290">
        <v>0</v>
      </c>
      <c r="R10" s="286" t="s">
        <v>205</v>
      </c>
      <c r="S10" s="287" t="s">
        <v>128</v>
      </c>
      <c r="T10" s="288">
        <f t="shared" si="1"/>
        <v>0</v>
      </c>
      <c r="U10" s="289">
        <f t="shared" si="0"/>
        <v>78565</v>
      </c>
      <c r="V10" s="290">
        <f t="shared" si="0"/>
        <v>0</v>
      </c>
      <c r="Z10" s="318" t="s">
        <v>237</v>
      </c>
      <c r="AA10" s="319">
        <f>T10</f>
        <v>0</v>
      </c>
      <c r="AB10" s="319">
        <f>U10</f>
        <v>78565</v>
      </c>
      <c r="AC10" s="319">
        <f>V10</f>
        <v>0</v>
      </c>
    </row>
    <row r="11" spans="1:30" x14ac:dyDescent="0.3">
      <c r="A11" s="277"/>
      <c r="B11" s="286" t="s">
        <v>206</v>
      </c>
      <c r="C11" s="287" t="s">
        <v>128</v>
      </c>
      <c r="D11" s="288">
        <v>360</v>
      </c>
      <c r="E11" s="289">
        <v>400</v>
      </c>
      <c r="F11" s="290">
        <v>400</v>
      </c>
      <c r="G11" s="277"/>
      <c r="J11" s="286" t="s">
        <v>206</v>
      </c>
      <c r="K11" s="287" t="s">
        <v>128</v>
      </c>
      <c r="L11" s="325">
        <v>369</v>
      </c>
      <c r="M11" s="325">
        <v>132</v>
      </c>
      <c r="N11" s="290">
        <v>500</v>
      </c>
      <c r="R11" s="286" t="s">
        <v>206</v>
      </c>
      <c r="S11" s="287" t="s">
        <v>128</v>
      </c>
      <c r="T11" s="288">
        <v>0</v>
      </c>
      <c r="U11" s="289">
        <v>0</v>
      </c>
      <c r="V11" s="290">
        <f t="shared" si="0"/>
        <v>100</v>
      </c>
      <c r="Z11" s="318" t="s">
        <v>236</v>
      </c>
      <c r="AA11" s="319">
        <f>T9</f>
        <v>4685</v>
      </c>
      <c r="AB11" s="319">
        <f>U9</f>
        <v>4685</v>
      </c>
      <c r="AC11" s="319">
        <f>V9</f>
        <v>0</v>
      </c>
    </row>
    <row r="12" spans="1:30" x14ac:dyDescent="0.3">
      <c r="A12" s="277"/>
      <c r="B12" s="286" t="s">
        <v>207</v>
      </c>
      <c r="C12" s="287" t="s">
        <v>128</v>
      </c>
      <c r="D12" s="288">
        <v>0</v>
      </c>
      <c r="E12" s="289">
        <v>0</v>
      </c>
      <c r="F12" s="290">
        <v>0</v>
      </c>
      <c r="G12" s="277"/>
      <c r="J12" s="286" t="s">
        <v>207</v>
      </c>
      <c r="K12" s="287" t="s">
        <v>128</v>
      </c>
      <c r="L12" s="325">
        <v>40000</v>
      </c>
      <c r="M12" s="325">
        <v>58837</v>
      </c>
      <c r="N12" s="290">
        <v>125000</v>
      </c>
      <c r="R12" s="286" t="s">
        <v>207</v>
      </c>
      <c r="S12" s="287" t="s">
        <v>128</v>
      </c>
      <c r="T12" s="288">
        <f t="shared" si="1"/>
        <v>40000</v>
      </c>
      <c r="U12" s="289">
        <f t="shared" si="0"/>
        <v>58837</v>
      </c>
      <c r="V12" s="290">
        <f t="shared" si="0"/>
        <v>125000</v>
      </c>
      <c r="Z12" s="318" t="s">
        <v>250</v>
      </c>
      <c r="AA12" s="319">
        <f>T17</f>
        <v>0</v>
      </c>
      <c r="AB12" s="319">
        <f t="shared" ref="AB12:AC12" si="2">U17</f>
        <v>87794</v>
      </c>
      <c r="AC12" s="319">
        <f t="shared" si="2"/>
        <v>141400</v>
      </c>
    </row>
    <row r="13" spans="1:30" x14ac:dyDescent="0.3">
      <c r="A13" s="277"/>
      <c r="B13" s="286" t="s">
        <v>208</v>
      </c>
      <c r="C13" s="287" t="s">
        <v>128</v>
      </c>
      <c r="D13" s="288">
        <v>6925</v>
      </c>
      <c r="E13" s="289">
        <v>0</v>
      </c>
      <c r="F13" s="290">
        <v>0</v>
      </c>
      <c r="G13" s="277"/>
      <c r="J13" s="286" t="s">
        <v>208</v>
      </c>
      <c r="K13" s="287" t="s">
        <v>128</v>
      </c>
      <c r="L13" s="325">
        <v>6925</v>
      </c>
      <c r="M13" s="325">
        <v>9531</v>
      </c>
      <c r="N13" s="290">
        <v>12819</v>
      </c>
      <c r="R13" s="286" t="s">
        <v>208</v>
      </c>
      <c r="S13" s="287" t="s">
        <v>128</v>
      </c>
      <c r="T13" s="288">
        <f t="shared" si="1"/>
        <v>0</v>
      </c>
      <c r="U13" s="289">
        <f t="shared" si="0"/>
        <v>9531</v>
      </c>
      <c r="V13" s="290">
        <f t="shared" si="0"/>
        <v>12819</v>
      </c>
      <c r="Z13" s="318" t="s">
        <v>255</v>
      </c>
      <c r="AA13" s="319">
        <f>T15</f>
        <v>0</v>
      </c>
      <c r="AB13" s="319">
        <f t="shared" ref="AB13:AC13" si="3">U15</f>
        <v>8523</v>
      </c>
      <c r="AC13" s="319">
        <f t="shared" si="3"/>
        <v>13670</v>
      </c>
      <c r="AD13" s="1"/>
    </row>
    <row r="14" spans="1:30" x14ac:dyDescent="0.3">
      <c r="A14" s="277"/>
      <c r="B14" s="286" t="s">
        <v>209</v>
      </c>
      <c r="C14" s="287" t="s">
        <v>128</v>
      </c>
      <c r="D14" s="288">
        <v>13933</v>
      </c>
      <c r="E14" s="289">
        <v>13933</v>
      </c>
      <c r="F14" s="290">
        <v>0</v>
      </c>
      <c r="G14" s="277"/>
      <c r="J14" s="286" t="s">
        <v>209</v>
      </c>
      <c r="K14" s="287" t="s">
        <v>128</v>
      </c>
      <c r="L14" s="325">
        <v>13933</v>
      </c>
      <c r="M14" s="325">
        <v>13933</v>
      </c>
      <c r="N14" s="290">
        <v>13933</v>
      </c>
      <c r="R14" s="286" t="s">
        <v>209</v>
      </c>
      <c r="S14" s="287" t="s">
        <v>128</v>
      </c>
      <c r="T14" s="288">
        <f t="shared" si="1"/>
        <v>0</v>
      </c>
      <c r="U14" s="289">
        <f t="shared" si="0"/>
        <v>0</v>
      </c>
      <c r="V14" s="290">
        <f t="shared" si="0"/>
        <v>13933</v>
      </c>
      <c r="Z14" s="318" t="s">
        <v>251</v>
      </c>
      <c r="AA14" s="318">
        <f t="shared" ref="AA14:AC15" si="4">T13</f>
        <v>0</v>
      </c>
      <c r="AB14" s="318">
        <f t="shared" si="4"/>
        <v>9531</v>
      </c>
      <c r="AC14" s="319">
        <f t="shared" si="4"/>
        <v>12819</v>
      </c>
    </row>
    <row r="15" spans="1:30" x14ac:dyDescent="0.3">
      <c r="A15" s="277"/>
      <c r="B15" s="286" t="s">
        <v>254</v>
      </c>
      <c r="C15" s="287" t="s">
        <v>128</v>
      </c>
      <c r="D15" s="288">
        <v>0</v>
      </c>
      <c r="E15" s="289">
        <v>0</v>
      </c>
      <c r="F15" s="290">
        <v>0</v>
      </c>
      <c r="G15" s="277"/>
      <c r="J15" s="286" t="s">
        <v>254</v>
      </c>
      <c r="K15" s="287" t="s">
        <v>128</v>
      </c>
      <c r="L15" s="325">
        <v>0</v>
      </c>
      <c r="M15" s="325">
        <v>8523</v>
      </c>
      <c r="N15" s="290">
        <v>13670</v>
      </c>
      <c r="R15" s="286" t="s">
        <v>254</v>
      </c>
      <c r="S15" s="287" t="s">
        <v>128</v>
      </c>
      <c r="T15" s="288">
        <f t="shared" si="1"/>
        <v>0</v>
      </c>
      <c r="U15" s="289">
        <f t="shared" si="0"/>
        <v>8523</v>
      </c>
      <c r="V15" s="290">
        <f t="shared" si="0"/>
        <v>13670</v>
      </c>
      <c r="Z15" s="318" t="s">
        <v>272</v>
      </c>
      <c r="AA15" s="371">
        <f t="shared" si="4"/>
        <v>0</v>
      </c>
      <c r="AB15" s="318">
        <f t="shared" si="4"/>
        <v>0</v>
      </c>
      <c r="AC15" s="319">
        <f t="shared" si="4"/>
        <v>13933</v>
      </c>
    </row>
    <row r="16" spans="1:30" x14ac:dyDescent="0.3">
      <c r="A16" s="277"/>
      <c r="B16" s="286" t="s">
        <v>270</v>
      </c>
      <c r="C16" s="287" t="s">
        <v>128</v>
      </c>
      <c r="D16" s="288">
        <v>0</v>
      </c>
      <c r="E16" s="289">
        <v>0</v>
      </c>
      <c r="F16" s="290">
        <v>0</v>
      </c>
      <c r="G16" s="277"/>
      <c r="J16" s="286" t="s">
        <v>270</v>
      </c>
      <c r="K16" s="287" t="s">
        <v>128</v>
      </c>
      <c r="L16" s="325">
        <v>0</v>
      </c>
      <c r="M16" s="370">
        <v>0</v>
      </c>
      <c r="N16" s="290">
        <v>3240</v>
      </c>
      <c r="R16" s="286" t="s">
        <v>270</v>
      </c>
      <c r="S16" s="287" t="s">
        <v>128</v>
      </c>
      <c r="T16" s="288">
        <f t="shared" si="1"/>
        <v>0</v>
      </c>
      <c r="U16" s="289">
        <f t="shared" si="0"/>
        <v>0</v>
      </c>
      <c r="V16" s="290">
        <f t="shared" si="0"/>
        <v>3240</v>
      </c>
      <c r="Z16" s="318" t="s">
        <v>271</v>
      </c>
      <c r="AA16" s="371">
        <f>T16</f>
        <v>0</v>
      </c>
      <c r="AB16" s="371">
        <f t="shared" ref="AB16:AC16" si="5">U16</f>
        <v>0</v>
      </c>
      <c r="AC16" s="371">
        <f t="shared" si="5"/>
        <v>3240</v>
      </c>
    </row>
    <row r="17" spans="1:29" x14ac:dyDescent="0.3">
      <c r="A17" s="277"/>
      <c r="B17" s="286" t="s">
        <v>249</v>
      </c>
      <c r="C17" s="287" t="s">
        <v>128</v>
      </c>
      <c r="D17" s="288">
        <v>0</v>
      </c>
      <c r="E17" s="289">
        <v>0</v>
      </c>
      <c r="F17" s="290">
        <v>0</v>
      </c>
      <c r="G17" s="277"/>
      <c r="J17" s="286" t="s">
        <v>249</v>
      </c>
      <c r="K17" s="287" t="s">
        <v>128</v>
      </c>
      <c r="L17" s="325">
        <v>0</v>
      </c>
      <c r="M17" s="325">
        <v>87794</v>
      </c>
      <c r="N17" s="290">
        <f>'System Conservation'!S2</f>
        <v>141400</v>
      </c>
      <c r="R17" s="286" t="s">
        <v>249</v>
      </c>
      <c r="S17" s="287" t="s">
        <v>128</v>
      </c>
      <c r="T17" s="288">
        <f t="shared" si="1"/>
        <v>0</v>
      </c>
      <c r="U17" s="289">
        <f t="shared" si="0"/>
        <v>87794</v>
      </c>
      <c r="V17" s="290">
        <f t="shared" si="0"/>
        <v>141400</v>
      </c>
      <c r="Z17" s="318" t="s">
        <v>233</v>
      </c>
      <c r="AA17" s="319">
        <f>T18</f>
        <v>58134</v>
      </c>
      <c r="AB17" s="319">
        <f>U18</f>
        <v>32391</v>
      </c>
      <c r="AC17" s="319">
        <f>V18</f>
        <v>470243</v>
      </c>
    </row>
    <row r="18" spans="1:29" x14ac:dyDescent="0.3">
      <c r="A18" s="277"/>
      <c r="B18" s="291" t="s">
        <v>210</v>
      </c>
      <c r="C18" s="292" t="s">
        <v>126</v>
      </c>
      <c r="D18" s="293">
        <v>-76920</v>
      </c>
      <c r="E18" s="294">
        <v>-143783</v>
      </c>
      <c r="F18" s="295">
        <v>-20243</v>
      </c>
      <c r="G18" s="277"/>
      <c r="J18" s="291" t="s">
        <v>210</v>
      </c>
      <c r="K18" s="292" t="s">
        <v>126</v>
      </c>
      <c r="L18" s="326">
        <v>-18786</v>
      </c>
      <c r="M18" s="326">
        <v>-111392</v>
      </c>
      <c r="N18" s="295">
        <f>-'OLD 2023'!B8</f>
        <v>450000</v>
      </c>
      <c r="R18" s="291" t="s">
        <v>210</v>
      </c>
      <c r="S18" s="292" t="s">
        <v>126</v>
      </c>
      <c r="T18" s="293">
        <f>L18-D18</f>
        <v>58134</v>
      </c>
      <c r="U18" s="294">
        <f t="shared" si="0"/>
        <v>32391</v>
      </c>
      <c r="V18" s="295">
        <f t="shared" si="0"/>
        <v>470243</v>
      </c>
      <c r="Z18" s="318" t="s">
        <v>234</v>
      </c>
      <c r="AA18" s="319">
        <f t="shared" ref="AA18:AC19" si="6">T21</f>
        <v>12305</v>
      </c>
      <c r="AB18" s="319">
        <f t="shared" si="6"/>
        <v>52921</v>
      </c>
      <c r="AC18" s="319">
        <f t="shared" si="6"/>
        <v>58400</v>
      </c>
    </row>
    <row r="19" spans="1:29" x14ac:dyDescent="0.3">
      <c r="A19" s="277"/>
      <c r="B19" s="291" t="s">
        <v>211</v>
      </c>
      <c r="C19" s="292" t="s">
        <v>126</v>
      </c>
      <c r="D19" s="293">
        <v>1579</v>
      </c>
      <c r="E19" s="294">
        <v>0</v>
      </c>
      <c r="F19" s="295">
        <v>0</v>
      </c>
      <c r="G19" s="277"/>
      <c r="J19" s="291" t="s">
        <v>211</v>
      </c>
      <c r="K19" s="292" t="s">
        <v>126</v>
      </c>
      <c r="L19" s="326">
        <v>1579</v>
      </c>
      <c r="M19" s="326">
        <v>0</v>
      </c>
      <c r="N19" s="295">
        <v>0</v>
      </c>
      <c r="R19" s="291" t="s">
        <v>211</v>
      </c>
      <c r="S19" s="292" t="s">
        <v>126</v>
      </c>
      <c r="T19" s="293">
        <f t="shared" ref="T19:T21" si="7">L19-D19</f>
        <v>0</v>
      </c>
      <c r="U19" s="294">
        <f t="shared" si="0"/>
        <v>0</v>
      </c>
      <c r="V19" s="295">
        <f t="shared" si="0"/>
        <v>0</v>
      </c>
      <c r="Z19" s="318" t="s">
        <v>266</v>
      </c>
      <c r="AA19" s="319">
        <f t="shared" si="6"/>
        <v>0</v>
      </c>
      <c r="AB19" s="319">
        <f t="shared" si="6"/>
        <v>9083</v>
      </c>
      <c r="AC19" s="319">
        <f t="shared" si="6"/>
        <v>0</v>
      </c>
    </row>
    <row r="20" spans="1:29" x14ac:dyDescent="0.3">
      <c r="A20" s="277"/>
      <c r="B20" s="291" t="s">
        <v>212</v>
      </c>
      <c r="C20" s="292" t="s">
        <v>126</v>
      </c>
      <c r="D20" s="293">
        <v>145</v>
      </c>
      <c r="E20" s="294">
        <v>145</v>
      </c>
      <c r="F20" s="295">
        <v>145</v>
      </c>
      <c r="G20" s="277"/>
      <c r="J20" s="291" t="s">
        <v>212</v>
      </c>
      <c r="K20" s="292" t="s">
        <v>126</v>
      </c>
      <c r="L20" s="326">
        <v>175</v>
      </c>
      <c r="M20" s="326">
        <v>141</v>
      </c>
      <c r="N20" s="295">
        <v>145</v>
      </c>
      <c r="R20" s="291" t="s">
        <v>212</v>
      </c>
      <c r="S20" s="292" t="s">
        <v>126</v>
      </c>
      <c r="T20" s="293">
        <f t="shared" si="7"/>
        <v>30</v>
      </c>
      <c r="U20" s="294">
        <f t="shared" si="0"/>
        <v>-4</v>
      </c>
      <c r="V20" s="295">
        <f t="shared" si="0"/>
        <v>0</v>
      </c>
      <c r="Z20" s="318" t="s">
        <v>273</v>
      </c>
      <c r="AA20" s="319">
        <f t="shared" ref="AA20" si="8">T23</f>
        <v>0</v>
      </c>
      <c r="AB20" s="319">
        <f t="shared" ref="AB20" si="9">U23</f>
        <v>25000</v>
      </c>
      <c r="AC20" s="319">
        <f t="shared" ref="AC20" si="10">V23</f>
        <v>0</v>
      </c>
    </row>
    <row r="21" spans="1:29" x14ac:dyDescent="0.3">
      <c r="A21" s="277"/>
      <c r="B21" s="291" t="s">
        <v>213</v>
      </c>
      <c r="C21" s="292" t="s">
        <v>126</v>
      </c>
      <c r="D21" s="293">
        <v>0</v>
      </c>
      <c r="E21" s="294">
        <v>0</v>
      </c>
      <c r="F21" s="295">
        <v>0</v>
      </c>
      <c r="J21" s="291" t="s">
        <v>213</v>
      </c>
      <c r="K21" s="292" t="s">
        <v>126</v>
      </c>
      <c r="L21" s="326">
        <v>12305</v>
      </c>
      <c r="M21" s="326">
        <v>52921</v>
      </c>
      <c r="N21" s="295">
        <v>58400</v>
      </c>
      <c r="R21" s="291" t="s">
        <v>213</v>
      </c>
      <c r="S21" s="292" t="s">
        <v>126</v>
      </c>
      <c r="T21" s="293">
        <f t="shared" si="7"/>
        <v>12305</v>
      </c>
      <c r="U21" s="294">
        <f t="shared" si="0"/>
        <v>52921</v>
      </c>
      <c r="V21" s="295">
        <f t="shared" si="0"/>
        <v>58400</v>
      </c>
      <c r="Z21" s="320" t="s">
        <v>235</v>
      </c>
      <c r="AA21" s="321">
        <f>T24</f>
        <v>12832</v>
      </c>
      <c r="AB21" s="321">
        <f>U24</f>
        <v>28330</v>
      </c>
      <c r="AC21" s="321">
        <f>V24</f>
        <v>44000</v>
      </c>
    </row>
    <row r="22" spans="1:29" x14ac:dyDescent="0.3">
      <c r="A22" s="277"/>
      <c r="B22" s="291" t="s">
        <v>266</v>
      </c>
      <c r="C22" s="292" t="s">
        <v>126</v>
      </c>
      <c r="D22" s="293">
        <v>0</v>
      </c>
      <c r="E22" s="294">
        <v>0</v>
      </c>
      <c r="F22" s="295">
        <v>0</v>
      </c>
      <c r="J22" s="291" t="s">
        <v>266</v>
      </c>
      <c r="K22" s="292" t="s">
        <v>126</v>
      </c>
      <c r="L22" s="326">
        <v>0</v>
      </c>
      <c r="M22" s="326">
        <v>9083</v>
      </c>
      <c r="N22" s="295">
        <v>0</v>
      </c>
      <c r="R22" s="291" t="s">
        <v>266</v>
      </c>
      <c r="S22" s="292" t="s">
        <v>126</v>
      </c>
      <c r="T22" s="293">
        <f>L22-D22</f>
        <v>0</v>
      </c>
      <c r="U22" s="294">
        <f>M22-E22</f>
        <v>9083</v>
      </c>
      <c r="V22" s="295">
        <f t="shared" ref="V22:V23" si="11">N22-F22</f>
        <v>0</v>
      </c>
      <c r="Z22" s="322" t="s">
        <v>224</v>
      </c>
      <c r="AA22" s="323">
        <f>SUM(AA8:AA21)</f>
        <v>134103</v>
      </c>
      <c r="AB22" s="323">
        <f>SUM(AB8:AB21)</f>
        <v>411919</v>
      </c>
      <c r="AC22" s="323">
        <f>SUM(AC8:AC21)</f>
        <v>923645</v>
      </c>
    </row>
    <row r="23" spans="1:29" x14ac:dyDescent="0.3">
      <c r="A23" s="277"/>
      <c r="B23" s="291" t="s">
        <v>273</v>
      </c>
      <c r="C23" s="292" t="s">
        <v>126</v>
      </c>
      <c r="D23" s="293">
        <v>0</v>
      </c>
      <c r="E23" s="294">
        <v>0</v>
      </c>
      <c r="F23" s="295">
        <v>0</v>
      </c>
      <c r="J23" s="291" t="s">
        <v>273</v>
      </c>
      <c r="K23" s="292" t="s">
        <v>126</v>
      </c>
      <c r="L23" s="326">
        <v>0</v>
      </c>
      <c r="M23" s="326">
        <v>25000</v>
      </c>
      <c r="N23" s="295">
        <v>0</v>
      </c>
      <c r="R23" s="291" t="s">
        <v>273</v>
      </c>
      <c r="S23" s="292" t="s">
        <v>126</v>
      </c>
      <c r="T23" s="293">
        <f>L23-D23</f>
        <v>0</v>
      </c>
      <c r="U23" s="294">
        <f>M23-E23</f>
        <v>25000</v>
      </c>
      <c r="V23" s="295">
        <f t="shared" si="11"/>
        <v>0</v>
      </c>
      <c r="Z23" s="322" t="s">
        <v>225</v>
      </c>
      <c r="AA23" s="323">
        <f>AA22</f>
        <v>134103</v>
      </c>
      <c r="AB23" s="323">
        <f>AA23+AB22</f>
        <v>546022</v>
      </c>
      <c r="AC23" s="323">
        <f>AB23+AC22</f>
        <v>1469667</v>
      </c>
    </row>
    <row r="24" spans="1:29" x14ac:dyDescent="0.3">
      <c r="A24" s="277"/>
      <c r="B24" s="296" t="s">
        <v>214</v>
      </c>
      <c r="C24" s="297" t="s">
        <v>127</v>
      </c>
      <c r="D24" s="298">
        <v>37000</v>
      </c>
      <c r="E24" s="299">
        <v>27000</v>
      </c>
      <c r="F24" s="300">
        <v>18000</v>
      </c>
      <c r="H24" s="277"/>
      <c r="J24" s="296" t="s">
        <v>214</v>
      </c>
      <c r="K24" s="297" t="s">
        <v>127</v>
      </c>
      <c r="L24" s="327">
        <v>49832</v>
      </c>
      <c r="M24" s="327">
        <v>55330</v>
      </c>
      <c r="N24" s="300">
        <v>62000</v>
      </c>
      <c r="R24" s="296" t="s">
        <v>214</v>
      </c>
      <c r="S24" s="297" t="s">
        <v>127</v>
      </c>
      <c r="T24" s="298">
        <f>L24-D24</f>
        <v>12832</v>
      </c>
      <c r="U24" s="299">
        <f t="shared" si="0"/>
        <v>28330</v>
      </c>
      <c r="V24" s="300">
        <f t="shared" si="0"/>
        <v>44000</v>
      </c>
    </row>
    <row r="25" spans="1:29" ht="15" thickBot="1" x14ac:dyDescent="0.35">
      <c r="A25" s="277"/>
      <c r="B25" s="301" t="s">
        <v>215</v>
      </c>
      <c r="C25" s="302" t="s">
        <v>127</v>
      </c>
      <c r="D25" s="303">
        <v>30000</v>
      </c>
      <c r="E25" s="304">
        <v>30000</v>
      </c>
      <c r="F25" s="305">
        <v>30000</v>
      </c>
      <c r="G25" s="277"/>
      <c r="J25" s="301" t="s">
        <v>215</v>
      </c>
      <c r="K25" s="302" t="s">
        <v>127</v>
      </c>
      <c r="L25" s="328">
        <v>35408</v>
      </c>
      <c r="M25" s="328">
        <v>35678</v>
      </c>
      <c r="N25" s="305">
        <v>30000</v>
      </c>
      <c r="R25" s="301" t="s">
        <v>215</v>
      </c>
      <c r="S25" s="302" t="s">
        <v>127</v>
      </c>
      <c r="T25" s="303">
        <f t="shared" ref="T25" si="12">L25-D25</f>
        <v>5408</v>
      </c>
      <c r="U25" s="304">
        <f t="shared" si="0"/>
        <v>5678</v>
      </c>
      <c r="V25" s="305">
        <f t="shared" si="0"/>
        <v>0</v>
      </c>
    </row>
    <row r="26" spans="1:29" ht="15" thickBot="1" x14ac:dyDescent="0.35">
      <c r="A26" s="277"/>
      <c r="B26" s="306" t="s">
        <v>216</v>
      </c>
      <c r="C26" s="307" t="s">
        <v>217</v>
      </c>
      <c r="D26" s="308">
        <f>SUM(D6:D25)</f>
        <v>107707</v>
      </c>
      <c r="E26" s="309">
        <f>SUM(E6:E25)</f>
        <v>-86720</v>
      </c>
      <c r="F26" s="310">
        <f>SUM(F6:F25)</f>
        <v>-40798</v>
      </c>
      <c r="G26" s="277"/>
      <c r="J26" s="306" t="s">
        <v>216</v>
      </c>
      <c r="K26" s="307" t="s">
        <v>217</v>
      </c>
      <c r="L26" s="308">
        <f>SUM(L6:L25)</f>
        <v>247257</v>
      </c>
      <c r="M26" s="309">
        <f>SUM(M6:M25)</f>
        <v>330605</v>
      </c>
      <c r="N26" s="310">
        <f>SUM(N6:N25)</f>
        <v>882947</v>
      </c>
      <c r="R26" s="306" t="s">
        <v>216</v>
      </c>
      <c r="S26" s="307" t="s">
        <v>217</v>
      </c>
      <c r="T26" s="308">
        <f>SUM(T6:T25)</f>
        <v>139541</v>
      </c>
      <c r="U26" s="309">
        <f>SUM(U6:U25)</f>
        <v>417593</v>
      </c>
      <c r="V26" s="310">
        <f>SUM(V6:V25)</f>
        <v>923745</v>
      </c>
      <c r="Z26" s="322" t="s">
        <v>230</v>
      </c>
      <c r="AA26" s="268"/>
      <c r="AB26" s="270">
        <v>500000</v>
      </c>
      <c r="AC26" s="270">
        <v>500000</v>
      </c>
    </row>
    <row r="27" spans="1:29" x14ac:dyDescent="0.3">
      <c r="A27" s="311"/>
      <c r="B27" s="312"/>
      <c r="C27" s="312"/>
      <c r="D27" s="313"/>
      <c r="E27" s="313"/>
      <c r="F27" s="313"/>
      <c r="G27" s="314"/>
      <c r="J27" t="s">
        <v>242</v>
      </c>
      <c r="L27">
        <v>8813</v>
      </c>
      <c r="M27">
        <v>14665</v>
      </c>
      <c r="Z27" s="322" t="s">
        <v>231</v>
      </c>
      <c r="AA27" s="268"/>
      <c r="AB27" s="270">
        <f>AB26-AB22</f>
        <v>88081</v>
      </c>
      <c r="AC27" s="270">
        <f>AC26-AC21</f>
        <v>456000</v>
      </c>
    </row>
    <row r="28" spans="1:29" x14ac:dyDescent="0.3">
      <c r="B28" s="315"/>
      <c r="C28" s="315"/>
      <c r="D28" s="316"/>
      <c r="E28" s="316"/>
      <c r="F28" s="316"/>
    </row>
    <row r="29" spans="1:29" x14ac:dyDescent="0.3">
      <c r="B29" s="315" t="s">
        <v>218</v>
      </c>
      <c r="C29" s="317" t="s">
        <v>217</v>
      </c>
      <c r="D29" s="316">
        <v>0</v>
      </c>
      <c r="E29" s="316">
        <v>333000</v>
      </c>
      <c r="F29" s="316">
        <v>417000</v>
      </c>
    </row>
    <row r="30" spans="1:29" ht="18" x14ac:dyDescent="0.35">
      <c r="B30" s="315" t="s">
        <v>220</v>
      </c>
      <c r="C30" s="317" t="s">
        <v>217</v>
      </c>
      <c r="D30" s="316">
        <v>211392</v>
      </c>
      <c r="E30" s="316">
        <v>200000</v>
      </c>
      <c r="F30" s="316">
        <v>200000</v>
      </c>
      <c r="J30" s="271" t="str">
        <f>J1</f>
        <v>Based on July 2023 24-Month Study Assumptions</v>
      </c>
      <c r="R30" s="271" t="str">
        <f>R1</f>
        <v>Difference: APR23 minus JUL21</v>
      </c>
    </row>
    <row r="31" spans="1:29" x14ac:dyDescent="0.3">
      <c r="B31" s="315" t="s">
        <v>221</v>
      </c>
      <c r="C31" s="317" t="s">
        <v>217</v>
      </c>
      <c r="D31" s="316">
        <f t="shared" ref="D31:F31" si="13">D26+D29+D30</f>
        <v>319099</v>
      </c>
      <c r="E31" s="316">
        <f t="shared" si="13"/>
        <v>446280</v>
      </c>
      <c r="F31" s="316">
        <f t="shared" si="13"/>
        <v>576202</v>
      </c>
      <c r="J31" s="272" t="s">
        <v>228</v>
      </c>
      <c r="R31" s="272" t="s">
        <v>228</v>
      </c>
      <c r="Z31" s="272" t="s">
        <v>228</v>
      </c>
    </row>
    <row r="32" spans="1:29" ht="15" thickBot="1" x14ac:dyDescent="0.35">
      <c r="B32" s="315"/>
      <c r="C32" s="317"/>
      <c r="D32" s="316"/>
      <c r="E32" s="316"/>
      <c r="F32" s="316"/>
      <c r="J32" s="274"/>
      <c r="K32" s="275"/>
      <c r="L32" s="275"/>
      <c r="M32" s="275"/>
      <c r="N32" s="275"/>
      <c r="R32" s="274"/>
      <c r="S32" s="275"/>
      <c r="T32" s="275"/>
      <c r="U32" s="275"/>
      <c r="V32" s="275"/>
    </row>
    <row r="33" spans="2:29" ht="15" thickBot="1" x14ac:dyDescent="0.35">
      <c r="B33" s="315"/>
      <c r="C33" s="315"/>
      <c r="D33" s="316"/>
      <c r="E33" s="316"/>
      <c r="F33" s="316"/>
      <c r="J33" s="590" t="s">
        <v>199</v>
      </c>
      <c r="K33" s="592" t="s">
        <v>200</v>
      </c>
      <c r="L33" s="594" t="s">
        <v>201</v>
      </c>
      <c r="M33" s="595"/>
      <c r="N33" s="596"/>
      <c r="R33" s="590" t="s">
        <v>199</v>
      </c>
      <c r="S33" s="592" t="s">
        <v>200</v>
      </c>
      <c r="T33" s="594" t="s">
        <v>201</v>
      </c>
      <c r="U33" s="595"/>
      <c r="V33" s="596"/>
      <c r="Z33" s="322" t="s">
        <v>238</v>
      </c>
      <c r="AA33" s="324">
        <v>2021</v>
      </c>
      <c r="AB33" s="324" t="s">
        <v>262</v>
      </c>
      <c r="AC33" s="324" t="s">
        <v>239</v>
      </c>
    </row>
    <row r="34" spans="2:29" ht="15" thickBot="1" x14ac:dyDescent="0.35">
      <c r="B34" s="315" t="s">
        <v>222</v>
      </c>
      <c r="C34" s="315" t="s">
        <v>128</v>
      </c>
      <c r="D34" s="316">
        <f>SUM(D6:D14)</f>
        <v>115903</v>
      </c>
      <c r="E34" s="316">
        <f>SUM(E6:E14)</f>
        <v>-82</v>
      </c>
      <c r="F34" s="316">
        <f>SUM(F6:F14)</f>
        <v>-68700</v>
      </c>
      <c r="J34" s="591"/>
      <c r="K34" s="593"/>
      <c r="L34" s="278">
        <v>2021</v>
      </c>
      <c r="M34" s="279">
        <v>2022</v>
      </c>
      <c r="N34" s="280">
        <v>2023</v>
      </c>
      <c r="R34" s="591"/>
      <c r="S34" s="593"/>
      <c r="T34" s="278">
        <v>2021</v>
      </c>
      <c r="U34" s="279">
        <v>2022</v>
      </c>
      <c r="V34" s="280">
        <v>2023</v>
      </c>
      <c r="Z34" s="318" t="s">
        <v>232</v>
      </c>
      <c r="AA34" s="319">
        <f>T35</f>
        <v>6147</v>
      </c>
      <c r="AB34" s="319">
        <f>U35</f>
        <v>16259</v>
      </c>
      <c r="AC34" s="319">
        <f>V35</f>
        <v>40940</v>
      </c>
    </row>
    <row r="35" spans="2:29" x14ac:dyDescent="0.3">
      <c r="B35" s="315"/>
      <c r="C35" s="315"/>
      <c r="D35" s="316"/>
      <c r="E35" s="316"/>
      <c r="F35" s="316"/>
      <c r="J35" s="281" t="s">
        <v>202</v>
      </c>
      <c r="K35" s="282" t="s">
        <v>128</v>
      </c>
      <c r="L35" s="283">
        <v>6147</v>
      </c>
      <c r="M35" s="284">
        <f t="shared" ref="M35:M44" si="14">M6</f>
        <v>-52841</v>
      </c>
      <c r="N35" s="285">
        <f>-'OLD 2023'!G28</f>
        <v>-28160</v>
      </c>
      <c r="R35" s="281" t="s">
        <v>202</v>
      </c>
      <c r="S35" s="282" t="s">
        <v>128</v>
      </c>
      <c r="T35" s="283">
        <f t="shared" ref="T35:T54" si="15">L35-D6</f>
        <v>6147</v>
      </c>
      <c r="U35" s="284">
        <f t="shared" ref="U35:V35" si="16">M35-E6</f>
        <v>16259</v>
      </c>
      <c r="V35" s="285">
        <f t="shared" si="16"/>
        <v>40940</v>
      </c>
      <c r="Z35" s="318" t="s">
        <v>85</v>
      </c>
      <c r="AA35" s="319">
        <f>T41</f>
        <v>40000</v>
      </c>
      <c r="AB35" s="319">
        <f>U41</f>
        <v>58837</v>
      </c>
      <c r="AC35" s="319">
        <f>V41</f>
        <v>125000</v>
      </c>
    </row>
    <row r="36" spans="2:29" x14ac:dyDescent="0.3">
      <c r="B36" s="315"/>
      <c r="C36" s="315"/>
      <c r="D36" s="316"/>
      <c r="E36" s="316"/>
      <c r="F36" s="316"/>
      <c r="J36" s="286" t="s">
        <v>203</v>
      </c>
      <c r="K36" s="287" t="s">
        <v>128</v>
      </c>
      <c r="L36" s="288">
        <v>50000</v>
      </c>
      <c r="M36" s="284">
        <f t="shared" si="14"/>
        <v>50000</v>
      </c>
      <c r="N36" s="290">
        <v>0</v>
      </c>
      <c r="R36" s="286" t="s">
        <v>203</v>
      </c>
      <c r="S36" s="287" t="s">
        <v>128</v>
      </c>
      <c r="T36" s="288">
        <f t="shared" si="15"/>
        <v>0</v>
      </c>
      <c r="U36" s="289">
        <f t="shared" ref="U36:U54" si="17">M36-E7</f>
        <v>0</v>
      </c>
      <c r="V36" s="290">
        <f t="shared" ref="V36:V54" si="18">N36-F7</f>
        <v>0</v>
      </c>
      <c r="Z36" s="318" t="s">
        <v>237</v>
      </c>
      <c r="AA36" s="319">
        <f>T39</f>
        <v>0</v>
      </c>
      <c r="AB36" s="319">
        <f>U39</f>
        <v>78565</v>
      </c>
      <c r="AC36" s="319">
        <f>V39</f>
        <v>0</v>
      </c>
    </row>
    <row r="37" spans="2:29" x14ac:dyDescent="0.3">
      <c r="B37" s="315"/>
      <c r="C37" s="315"/>
      <c r="D37" s="316"/>
      <c r="E37" s="316"/>
      <c r="F37" s="316"/>
      <c r="J37" s="286" t="s">
        <v>152</v>
      </c>
      <c r="K37" s="287" t="s">
        <v>128</v>
      </c>
      <c r="L37" s="288">
        <v>4685</v>
      </c>
      <c r="M37" s="284">
        <f t="shared" si="14"/>
        <v>4685</v>
      </c>
      <c r="N37" s="290">
        <v>0</v>
      </c>
      <c r="R37" s="286" t="s">
        <v>152</v>
      </c>
      <c r="S37" s="287" t="s">
        <v>128</v>
      </c>
      <c r="T37" s="288">
        <f t="shared" si="15"/>
        <v>0</v>
      </c>
      <c r="U37" s="289">
        <f t="shared" si="17"/>
        <v>0</v>
      </c>
      <c r="V37" s="290">
        <f t="shared" si="18"/>
        <v>0</v>
      </c>
      <c r="Z37" s="318" t="s">
        <v>236</v>
      </c>
      <c r="AA37" s="319">
        <f>T38</f>
        <v>4685</v>
      </c>
      <c r="AB37" s="319">
        <f>U38</f>
        <v>4685</v>
      </c>
      <c r="AC37" s="319">
        <f>V38</f>
        <v>0</v>
      </c>
    </row>
    <row r="38" spans="2:29" x14ac:dyDescent="0.3">
      <c r="B38" s="315"/>
      <c r="C38" s="315"/>
      <c r="D38" s="316"/>
      <c r="E38" s="316"/>
      <c r="F38" s="316"/>
      <c r="J38" s="286" t="s">
        <v>204</v>
      </c>
      <c r="K38" s="287" t="s">
        <v>128</v>
      </c>
      <c r="L38" s="288">
        <v>4685</v>
      </c>
      <c r="M38" s="284">
        <f t="shared" si="14"/>
        <v>4685</v>
      </c>
      <c r="N38" s="290">
        <v>0</v>
      </c>
      <c r="R38" s="286" t="s">
        <v>204</v>
      </c>
      <c r="S38" s="287" t="s">
        <v>128</v>
      </c>
      <c r="T38" s="288">
        <f t="shared" si="15"/>
        <v>4685</v>
      </c>
      <c r="U38" s="289">
        <f t="shared" si="17"/>
        <v>4685</v>
      </c>
      <c r="V38" s="290">
        <f t="shared" si="18"/>
        <v>0</v>
      </c>
      <c r="Z38" s="318" t="s">
        <v>250</v>
      </c>
      <c r="AA38" s="319">
        <f>T46</f>
        <v>0</v>
      </c>
      <c r="AB38" s="319">
        <f t="shared" ref="AB38:AC38" si="19">U46</f>
        <v>87794</v>
      </c>
      <c r="AC38" s="319">
        <f t="shared" si="19"/>
        <v>141400</v>
      </c>
    </row>
    <row r="39" spans="2:29" x14ac:dyDescent="0.3">
      <c r="B39" s="315" t="s">
        <v>223</v>
      </c>
      <c r="C39" s="315" t="s">
        <v>126</v>
      </c>
      <c r="D39" s="316">
        <f>SUM(D18:D20)</f>
        <v>-75196</v>
      </c>
      <c r="E39" s="316">
        <f>SUM(E18:E20)</f>
        <v>-143638</v>
      </c>
      <c r="F39" s="316">
        <f>SUM(F18:F20)</f>
        <v>-20098</v>
      </c>
      <c r="J39" s="286" t="s">
        <v>205</v>
      </c>
      <c r="K39" s="287" t="s">
        <v>128</v>
      </c>
      <c r="L39" s="288">
        <v>40000</v>
      </c>
      <c r="M39" s="284">
        <f t="shared" si="14"/>
        <v>78565</v>
      </c>
      <c r="N39" s="290">
        <v>0</v>
      </c>
      <c r="R39" s="286" t="s">
        <v>205</v>
      </c>
      <c r="S39" s="287" t="s">
        <v>128</v>
      </c>
      <c r="T39" s="288">
        <f t="shared" si="15"/>
        <v>0</v>
      </c>
      <c r="U39" s="289">
        <f t="shared" si="17"/>
        <v>78565</v>
      </c>
      <c r="V39" s="290">
        <f t="shared" si="18"/>
        <v>0</v>
      </c>
      <c r="Z39" s="318" t="s">
        <v>255</v>
      </c>
      <c r="AA39" s="319">
        <f>T44</f>
        <v>0</v>
      </c>
      <c r="AB39" s="319">
        <f t="shared" ref="AB39:AC39" si="20">U44</f>
        <v>8523</v>
      </c>
      <c r="AC39" s="319">
        <f t="shared" si="20"/>
        <v>13670</v>
      </c>
    </row>
    <row r="40" spans="2:29" x14ac:dyDescent="0.3">
      <c r="B40" s="315"/>
      <c r="C40" s="315"/>
      <c r="D40" s="316"/>
      <c r="E40" s="316"/>
      <c r="F40" s="316"/>
      <c r="J40" s="286" t="s">
        <v>206</v>
      </c>
      <c r="K40" s="287" t="s">
        <v>128</v>
      </c>
      <c r="L40" s="288">
        <v>369</v>
      </c>
      <c r="M40" s="284">
        <f t="shared" si="14"/>
        <v>132</v>
      </c>
      <c r="N40" s="290">
        <v>500</v>
      </c>
      <c r="R40" s="286" t="s">
        <v>206</v>
      </c>
      <c r="S40" s="287" t="s">
        <v>128</v>
      </c>
      <c r="T40" s="288">
        <f t="shared" si="15"/>
        <v>9</v>
      </c>
      <c r="U40" s="289">
        <f t="shared" si="17"/>
        <v>-268</v>
      </c>
      <c r="V40" s="290">
        <f t="shared" si="18"/>
        <v>100</v>
      </c>
      <c r="Z40" s="318" t="s">
        <v>251</v>
      </c>
      <c r="AA40" s="319">
        <f>T42</f>
        <v>0</v>
      </c>
      <c r="AB40" s="319">
        <f>U42</f>
        <v>9531</v>
      </c>
      <c r="AC40" s="319">
        <f>V42</f>
        <v>12819</v>
      </c>
    </row>
    <row r="41" spans="2:29" x14ac:dyDescent="0.3">
      <c r="B41" s="315"/>
      <c r="C41" s="315"/>
      <c r="D41" s="316"/>
      <c r="E41" s="316"/>
      <c r="F41" s="316"/>
      <c r="J41" s="286" t="s">
        <v>207</v>
      </c>
      <c r="K41" s="287" t="s">
        <v>128</v>
      </c>
      <c r="L41" s="288">
        <v>40000</v>
      </c>
      <c r="M41" s="284">
        <f t="shared" si="14"/>
        <v>58837</v>
      </c>
      <c r="N41" s="290">
        <v>125000</v>
      </c>
      <c r="R41" s="286" t="s">
        <v>207</v>
      </c>
      <c r="S41" s="287" t="s">
        <v>128</v>
      </c>
      <c r="T41" s="288">
        <f t="shared" si="15"/>
        <v>40000</v>
      </c>
      <c r="U41" s="289">
        <f t="shared" si="17"/>
        <v>58837</v>
      </c>
      <c r="V41" s="290">
        <f t="shared" si="18"/>
        <v>125000</v>
      </c>
      <c r="Z41" s="318" t="s">
        <v>272</v>
      </c>
      <c r="AA41" s="318">
        <f>T43</f>
        <v>0</v>
      </c>
      <c r="AB41" s="318">
        <f t="shared" ref="AB41:AC41" si="21">U43</f>
        <v>0</v>
      </c>
      <c r="AC41" s="319">
        <f t="shared" si="21"/>
        <v>13933</v>
      </c>
    </row>
    <row r="42" spans="2:29" x14ac:dyDescent="0.3">
      <c r="B42" s="315" t="s">
        <v>226</v>
      </c>
      <c r="C42" s="315" t="s">
        <v>127</v>
      </c>
      <c r="D42" s="316">
        <f>SUM(D24:D25)</f>
        <v>67000</v>
      </c>
      <c r="E42" s="316">
        <f>SUM(E24:E25)</f>
        <v>57000</v>
      </c>
      <c r="F42" s="316">
        <f>SUM(F24:F25)</f>
        <v>48000</v>
      </c>
      <c r="J42" s="286" t="s">
        <v>208</v>
      </c>
      <c r="K42" s="287" t="s">
        <v>128</v>
      </c>
      <c r="L42" s="288">
        <v>6925</v>
      </c>
      <c r="M42" s="284">
        <f t="shared" si="14"/>
        <v>9531</v>
      </c>
      <c r="N42" s="290">
        <v>12819</v>
      </c>
      <c r="R42" s="286" t="s">
        <v>208</v>
      </c>
      <c r="S42" s="287" t="s">
        <v>128</v>
      </c>
      <c r="T42" s="288">
        <f t="shared" si="15"/>
        <v>0</v>
      </c>
      <c r="U42" s="289">
        <f t="shared" si="17"/>
        <v>9531</v>
      </c>
      <c r="V42" s="290">
        <f t="shared" si="18"/>
        <v>12819</v>
      </c>
      <c r="Z42" s="318" t="s">
        <v>271</v>
      </c>
      <c r="AA42" s="318">
        <f>T45</f>
        <v>0</v>
      </c>
      <c r="AB42" s="318">
        <f t="shared" ref="AB42:AC42" si="22">U45</f>
        <v>0</v>
      </c>
      <c r="AC42" s="319">
        <f t="shared" si="22"/>
        <v>3240</v>
      </c>
    </row>
    <row r="43" spans="2:29" x14ac:dyDescent="0.3">
      <c r="B43" s="315"/>
      <c r="C43" s="315"/>
      <c r="D43" s="316"/>
      <c r="E43" s="316"/>
      <c r="F43" s="316"/>
      <c r="J43" s="286" t="s">
        <v>209</v>
      </c>
      <c r="K43" s="287" t="s">
        <v>128</v>
      </c>
      <c r="L43" s="288">
        <v>13933</v>
      </c>
      <c r="M43" s="284">
        <f t="shared" si="14"/>
        <v>13933</v>
      </c>
      <c r="N43" s="290">
        <v>13933</v>
      </c>
      <c r="R43" s="286" t="s">
        <v>209</v>
      </c>
      <c r="S43" s="287" t="s">
        <v>128</v>
      </c>
      <c r="T43" s="288">
        <f t="shared" si="15"/>
        <v>0</v>
      </c>
      <c r="U43" s="289">
        <f t="shared" si="17"/>
        <v>0</v>
      </c>
      <c r="V43" s="290">
        <f t="shared" si="18"/>
        <v>13933</v>
      </c>
      <c r="Z43" s="318" t="s">
        <v>233</v>
      </c>
      <c r="AA43" s="319">
        <f>T47</f>
        <v>58134</v>
      </c>
      <c r="AB43" s="319">
        <f>U47</f>
        <v>32391</v>
      </c>
      <c r="AC43" s="319">
        <f>V47</f>
        <v>470243</v>
      </c>
    </row>
    <row r="44" spans="2:29" x14ac:dyDescent="0.3">
      <c r="B44" s="315"/>
      <c r="C44" s="315"/>
      <c r="D44" s="316"/>
      <c r="E44" s="316"/>
      <c r="F44" s="316"/>
      <c r="J44" s="286" t="s">
        <v>254</v>
      </c>
      <c r="K44" s="287" t="s">
        <v>128</v>
      </c>
      <c r="L44" s="288">
        <v>0</v>
      </c>
      <c r="M44" s="284">
        <f t="shared" si="14"/>
        <v>8523</v>
      </c>
      <c r="N44" s="290">
        <v>13670</v>
      </c>
      <c r="R44" s="286" t="s">
        <v>254</v>
      </c>
      <c r="S44" s="287" t="s">
        <v>128</v>
      </c>
      <c r="T44" s="288">
        <f t="shared" si="15"/>
        <v>0</v>
      </c>
      <c r="U44" s="289">
        <f t="shared" si="17"/>
        <v>8523</v>
      </c>
      <c r="V44" s="290">
        <f t="shared" si="18"/>
        <v>13670</v>
      </c>
      <c r="Z44" s="318" t="s">
        <v>234</v>
      </c>
      <c r="AA44" s="319">
        <f t="shared" ref="AA44:AC45" si="23">T50</f>
        <v>12305</v>
      </c>
      <c r="AB44" s="319">
        <f t="shared" si="23"/>
        <v>52921</v>
      </c>
      <c r="AC44" s="319">
        <f t="shared" si="23"/>
        <v>58400</v>
      </c>
    </row>
    <row r="45" spans="2:29" x14ac:dyDescent="0.3">
      <c r="B45" s="315"/>
      <c r="C45" s="315"/>
      <c r="D45" s="316"/>
      <c r="E45" s="316"/>
      <c r="F45" s="316"/>
      <c r="J45" s="286" t="s">
        <v>270</v>
      </c>
      <c r="K45" s="287" t="s">
        <v>128</v>
      </c>
      <c r="L45" s="288">
        <v>0</v>
      </c>
      <c r="M45" s="289">
        <v>0</v>
      </c>
      <c r="N45" s="290">
        <v>3240</v>
      </c>
      <c r="R45" s="286" t="s">
        <v>270</v>
      </c>
      <c r="S45" s="287" t="s">
        <v>128</v>
      </c>
      <c r="T45" s="288">
        <f t="shared" si="15"/>
        <v>0</v>
      </c>
      <c r="U45" s="289">
        <f t="shared" si="17"/>
        <v>0</v>
      </c>
      <c r="V45" s="290">
        <f t="shared" si="18"/>
        <v>3240</v>
      </c>
      <c r="Z45" s="318" t="s">
        <v>266</v>
      </c>
      <c r="AA45" s="319">
        <f t="shared" si="23"/>
        <v>0</v>
      </c>
      <c r="AB45" s="319">
        <f t="shared" si="23"/>
        <v>9083</v>
      </c>
      <c r="AC45" s="319">
        <f t="shared" si="23"/>
        <v>0</v>
      </c>
    </row>
    <row r="46" spans="2:29" x14ac:dyDescent="0.3">
      <c r="B46" s="315"/>
      <c r="C46" s="315"/>
      <c r="D46" s="316"/>
      <c r="E46" s="316"/>
      <c r="F46" s="316"/>
      <c r="J46" s="286" t="s">
        <v>249</v>
      </c>
      <c r="K46" s="287" t="s">
        <v>128</v>
      </c>
      <c r="L46" s="288">
        <v>0</v>
      </c>
      <c r="M46" s="284">
        <f t="shared" ref="M46:M54" si="24">M17</f>
        <v>87794</v>
      </c>
      <c r="N46" s="290">
        <f>N17</f>
        <v>141400</v>
      </c>
      <c r="R46" s="286" t="s">
        <v>249</v>
      </c>
      <c r="S46" s="287" t="s">
        <v>128</v>
      </c>
      <c r="T46" s="288">
        <f t="shared" si="15"/>
        <v>0</v>
      </c>
      <c r="U46" s="289">
        <f t="shared" si="17"/>
        <v>87794</v>
      </c>
      <c r="V46" s="290">
        <f t="shared" si="18"/>
        <v>141400</v>
      </c>
      <c r="Z46" s="318" t="s">
        <v>273</v>
      </c>
      <c r="AA46" s="319">
        <f t="shared" ref="AA46" si="25">T52</f>
        <v>0</v>
      </c>
      <c r="AB46" s="319">
        <f t="shared" ref="AB46" si="26">U52</f>
        <v>25000</v>
      </c>
      <c r="AC46" s="319">
        <f t="shared" ref="AC46" si="27">V52</f>
        <v>0</v>
      </c>
    </row>
    <row r="47" spans="2:29" x14ac:dyDescent="0.3">
      <c r="B47" s="315"/>
      <c r="C47" s="315"/>
      <c r="D47" s="316"/>
      <c r="E47" s="316"/>
      <c r="F47" s="316"/>
      <c r="J47" s="291" t="s">
        <v>210</v>
      </c>
      <c r="K47" s="292" t="s">
        <v>126</v>
      </c>
      <c r="L47" s="293">
        <v>-18786</v>
      </c>
      <c r="M47" s="365">
        <f t="shared" si="24"/>
        <v>-111392</v>
      </c>
      <c r="N47" s="295">
        <f>-'OLD 2023'!G8</f>
        <v>450000</v>
      </c>
      <c r="R47" s="291" t="s">
        <v>210</v>
      </c>
      <c r="S47" s="292" t="s">
        <v>126</v>
      </c>
      <c r="T47" s="293">
        <f t="shared" si="15"/>
        <v>58134</v>
      </c>
      <c r="U47" s="294">
        <f t="shared" si="17"/>
        <v>32391</v>
      </c>
      <c r="V47" s="295">
        <f t="shared" si="18"/>
        <v>470243</v>
      </c>
      <c r="Z47" s="320" t="s">
        <v>235</v>
      </c>
      <c r="AA47" s="321">
        <f>T53</f>
        <v>12832</v>
      </c>
      <c r="AB47" s="321">
        <f>U53</f>
        <v>28330</v>
      </c>
      <c r="AC47" s="321">
        <f>V53</f>
        <v>34000</v>
      </c>
    </row>
    <row r="48" spans="2:29" x14ac:dyDescent="0.3">
      <c r="B48" s="315"/>
      <c r="C48" s="315"/>
      <c r="D48" s="316"/>
      <c r="E48" s="316"/>
      <c r="F48" s="316"/>
      <c r="J48" s="291" t="s">
        <v>211</v>
      </c>
      <c r="K48" s="292" t="s">
        <v>126</v>
      </c>
      <c r="L48" s="293">
        <v>1579</v>
      </c>
      <c r="M48" s="365">
        <f t="shared" si="24"/>
        <v>0</v>
      </c>
      <c r="N48" s="295">
        <v>0</v>
      </c>
      <c r="R48" s="291" t="s">
        <v>211</v>
      </c>
      <c r="S48" s="292" t="s">
        <v>126</v>
      </c>
      <c r="T48" s="293">
        <f t="shared" si="15"/>
        <v>0</v>
      </c>
      <c r="U48" s="294">
        <f t="shared" si="17"/>
        <v>0</v>
      </c>
      <c r="V48" s="295">
        <f t="shared" si="18"/>
        <v>0</v>
      </c>
      <c r="Z48" s="322" t="s">
        <v>224</v>
      </c>
      <c r="AA48" s="323">
        <f>SUM(AA34:AA47)</f>
        <v>134103</v>
      </c>
      <c r="AB48" s="323">
        <f>SUM(AB34:AB47)</f>
        <v>411919</v>
      </c>
      <c r="AC48" s="323">
        <f>SUM(AC34:AC47)</f>
        <v>913645</v>
      </c>
    </row>
    <row r="49" spans="2:29" x14ac:dyDescent="0.3">
      <c r="B49" s="315"/>
      <c r="C49" s="315"/>
      <c r="D49" s="316"/>
      <c r="E49" s="316"/>
      <c r="F49" s="316"/>
      <c r="J49" s="291" t="s">
        <v>212</v>
      </c>
      <c r="K49" s="292" t="s">
        <v>126</v>
      </c>
      <c r="L49" s="293">
        <v>175</v>
      </c>
      <c r="M49" s="365">
        <f t="shared" si="24"/>
        <v>141</v>
      </c>
      <c r="N49" s="295">
        <v>145</v>
      </c>
      <c r="R49" s="291" t="s">
        <v>212</v>
      </c>
      <c r="S49" s="292" t="s">
        <v>126</v>
      </c>
      <c r="T49" s="293">
        <f t="shared" si="15"/>
        <v>30</v>
      </c>
      <c r="U49" s="294">
        <f t="shared" si="17"/>
        <v>-4</v>
      </c>
      <c r="V49" s="295">
        <f t="shared" si="18"/>
        <v>0</v>
      </c>
      <c r="Z49" s="322" t="s">
        <v>225</v>
      </c>
      <c r="AA49" s="323">
        <f>AA48</f>
        <v>134103</v>
      </c>
      <c r="AB49" s="323">
        <f>AA49+AB48</f>
        <v>546022</v>
      </c>
      <c r="AC49" s="323">
        <f>AB49+AC48</f>
        <v>1459667</v>
      </c>
    </row>
    <row r="50" spans="2:29" x14ac:dyDescent="0.3">
      <c r="B50" s="315"/>
      <c r="C50" s="315"/>
      <c r="D50" s="316"/>
      <c r="E50" s="316"/>
      <c r="F50" s="316"/>
      <c r="J50" s="291" t="s">
        <v>213</v>
      </c>
      <c r="K50" s="292" t="s">
        <v>126</v>
      </c>
      <c r="L50" s="293">
        <v>12305</v>
      </c>
      <c r="M50" s="365">
        <f t="shared" si="24"/>
        <v>52921</v>
      </c>
      <c r="N50" s="295">
        <v>58400</v>
      </c>
      <c r="R50" s="291" t="s">
        <v>213</v>
      </c>
      <c r="S50" s="292" t="s">
        <v>126</v>
      </c>
      <c r="T50" s="293">
        <f t="shared" si="15"/>
        <v>12305</v>
      </c>
      <c r="U50" s="294">
        <f t="shared" si="17"/>
        <v>52921</v>
      </c>
      <c r="V50" s="295">
        <f t="shared" si="18"/>
        <v>58400</v>
      </c>
    </row>
    <row r="51" spans="2:29" x14ac:dyDescent="0.3">
      <c r="B51" s="315"/>
      <c r="C51" s="315"/>
      <c r="D51" s="316"/>
      <c r="E51" s="316"/>
      <c r="F51" s="316"/>
      <c r="J51" s="291" t="s">
        <v>266</v>
      </c>
      <c r="K51" s="292" t="s">
        <v>126</v>
      </c>
      <c r="L51" s="293">
        <v>0</v>
      </c>
      <c r="M51" s="365">
        <f t="shared" si="24"/>
        <v>9083</v>
      </c>
      <c r="N51" s="295">
        <v>0</v>
      </c>
      <c r="R51" s="291" t="s">
        <v>266</v>
      </c>
      <c r="S51" s="292" t="s">
        <v>126</v>
      </c>
      <c r="T51" s="293">
        <f t="shared" si="15"/>
        <v>0</v>
      </c>
      <c r="U51" s="294">
        <f t="shared" si="17"/>
        <v>9083</v>
      </c>
      <c r="V51" s="295">
        <f t="shared" si="18"/>
        <v>0</v>
      </c>
    </row>
    <row r="52" spans="2:29" x14ac:dyDescent="0.3">
      <c r="B52" s="315"/>
      <c r="C52" s="315"/>
      <c r="D52" s="316"/>
      <c r="E52" s="316"/>
      <c r="F52" s="316"/>
      <c r="J52" s="291" t="s">
        <v>273</v>
      </c>
      <c r="K52" s="292" t="s">
        <v>126</v>
      </c>
      <c r="L52" s="293">
        <v>0</v>
      </c>
      <c r="M52" s="365">
        <f t="shared" si="24"/>
        <v>25000</v>
      </c>
      <c r="N52" s="295">
        <v>0</v>
      </c>
      <c r="R52" s="291" t="s">
        <v>273</v>
      </c>
      <c r="S52" s="292" t="s">
        <v>126</v>
      </c>
      <c r="T52" s="293">
        <f t="shared" si="15"/>
        <v>0</v>
      </c>
      <c r="U52" s="294">
        <f t="shared" si="17"/>
        <v>25000</v>
      </c>
      <c r="V52" s="295">
        <f t="shared" si="18"/>
        <v>0</v>
      </c>
    </row>
    <row r="53" spans="2:29" x14ac:dyDescent="0.3">
      <c r="B53" s="315"/>
      <c r="C53" s="315"/>
      <c r="D53" s="316"/>
      <c r="E53" s="316"/>
      <c r="F53" s="316"/>
      <c r="J53" s="296" t="s">
        <v>214</v>
      </c>
      <c r="K53" s="297" t="s">
        <v>127</v>
      </c>
      <c r="L53" s="298">
        <v>49832</v>
      </c>
      <c r="M53" s="366">
        <f t="shared" si="24"/>
        <v>55330</v>
      </c>
      <c r="N53" s="300">
        <v>52000</v>
      </c>
      <c r="R53" s="296" t="s">
        <v>214</v>
      </c>
      <c r="S53" s="297" t="s">
        <v>127</v>
      </c>
      <c r="T53" s="298">
        <f t="shared" si="15"/>
        <v>12832</v>
      </c>
      <c r="U53" s="299">
        <f t="shared" si="17"/>
        <v>28330</v>
      </c>
      <c r="V53" s="300">
        <f t="shared" si="18"/>
        <v>34000</v>
      </c>
    </row>
    <row r="54" spans="2:29" ht="15" thickBot="1" x14ac:dyDescent="0.35">
      <c r="B54" s="315"/>
      <c r="C54" s="315"/>
      <c r="D54" s="316"/>
      <c r="E54" s="316"/>
      <c r="F54" s="316"/>
      <c r="J54" s="301" t="s">
        <v>215</v>
      </c>
      <c r="K54" s="302" t="s">
        <v>127</v>
      </c>
      <c r="L54" s="303">
        <v>35408</v>
      </c>
      <c r="M54" s="366">
        <f t="shared" si="24"/>
        <v>35678</v>
      </c>
      <c r="N54" s="305">
        <v>30000</v>
      </c>
      <c r="R54" s="301" t="s">
        <v>215</v>
      </c>
      <c r="S54" s="302" t="s">
        <v>127</v>
      </c>
      <c r="T54" s="303">
        <f t="shared" si="15"/>
        <v>5408</v>
      </c>
      <c r="U54" s="304">
        <f t="shared" si="17"/>
        <v>5678</v>
      </c>
      <c r="V54" s="305">
        <f t="shared" si="18"/>
        <v>0</v>
      </c>
    </row>
    <row r="55" spans="2:29" ht="15" thickBot="1" x14ac:dyDescent="0.35">
      <c r="B55" s="315"/>
      <c r="C55" s="315"/>
      <c r="D55" s="316"/>
      <c r="E55" s="316"/>
      <c r="F55" s="316"/>
      <c r="J55" s="306" t="s">
        <v>216</v>
      </c>
      <c r="K55" s="307" t="s">
        <v>217</v>
      </c>
      <c r="L55" s="308">
        <f>SUM(L35:L54)</f>
        <v>247257</v>
      </c>
      <c r="M55" s="309">
        <f>SUM(M35:M54)</f>
        <v>330605</v>
      </c>
      <c r="N55" s="310">
        <f>SUM(N35:N54)</f>
        <v>872947</v>
      </c>
      <c r="R55" s="306" t="s">
        <v>216</v>
      </c>
      <c r="S55" s="307" t="s">
        <v>217</v>
      </c>
      <c r="T55" s="308">
        <f>SUM(T35:T54)</f>
        <v>139550</v>
      </c>
      <c r="U55" s="309">
        <f>SUM(U35:U54)</f>
        <v>417325</v>
      </c>
      <c r="V55" s="310">
        <f>SUM(V35:V54)</f>
        <v>913745</v>
      </c>
    </row>
    <row r="56" spans="2:29" x14ac:dyDescent="0.3">
      <c r="B56" s="315"/>
      <c r="C56" s="315"/>
      <c r="D56" s="316"/>
      <c r="E56" s="316"/>
      <c r="F56" s="316"/>
    </row>
    <row r="57" spans="2:29" x14ac:dyDescent="0.3">
      <c r="B57" s="315"/>
      <c r="C57" s="315"/>
      <c r="D57" s="316"/>
      <c r="E57" s="316"/>
      <c r="F57" s="316"/>
    </row>
    <row r="58" spans="2:29" x14ac:dyDescent="0.3">
      <c r="B58" s="315"/>
      <c r="C58" s="315"/>
      <c r="D58" s="316"/>
      <c r="E58" s="316"/>
      <c r="F58" s="316"/>
    </row>
    <row r="59" spans="2:29" ht="18" x14ac:dyDescent="0.35">
      <c r="J59" s="271" t="str">
        <f>J30</f>
        <v>Based on July 2023 24-Month Study Assumptions</v>
      </c>
      <c r="R59" s="271" t="str">
        <f>R1</f>
        <v>Difference: APR23 minus JUL21</v>
      </c>
      <c r="Z59" s="272" t="s">
        <v>229</v>
      </c>
    </row>
    <row r="60" spans="2:29" x14ac:dyDescent="0.3">
      <c r="J60" s="272" t="s">
        <v>229</v>
      </c>
      <c r="R60" s="272" t="s">
        <v>229</v>
      </c>
    </row>
    <row r="61" spans="2:29" ht="15" thickBot="1" x14ac:dyDescent="0.35">
      <c r="J61" s="274"/>
      <c r="K61" s="275"/>
      <c r="L61" s="275"/>
      <c r="M61" s="275"/>
      <c r="N61" s="275"/>
      <c r="R61" s="274"/>
      <c r="S61" s="275"/>
      <c r="T61" s="275"/>
      <c r="U61" s="275"/>
      <c r="V61" s="275"/>
    </row>
    <row r="62" spans="2:29" ht="15" thickBot="1" x14ac:dyDescent="0.35">
      <c r="J62" s="590" t="s">
        <v>199</v>
      </c>
      <c r="K62" s="592" t="s">
        <v>200</v>
      </c>
      <c r="L62" s="594" t="s">
        <v>201</v>
      </c>
      <c r="M62" s="595"/>
      <c r="N62" s="596"/>
      <c r="R62" s="590" t="s">
        <v>199</v>
      </c>
      <c r="S62" s="592" t="s">
        <v>200</v>
      </c>
      <c r="T62" s="594" t="s">
        <v>201</v>
      </c>
      <c r="U62" s="595"/>
      <c r="V62" s="596"/>
      <c r="Z62" s="322" t="s">
        <v>238</v>
      </c>
      <c r="AA62" s="324">
        <v>2021</v>
      </c>
      <c r="AB62" s="324" t="s">
        <v>262</v>
      </c>
      <c r="AC62" s="324" t="s">
        <v>239</v>
      </c>
    </row>
    <row r="63" spans="2:29" ht="15" thickBot="1" x14ac:dyDescent="0.35">
      <c r="J63" s="591"/>
      <c r="K63" s="593"/>
      <c r="L63" s="278">
        <v>2021</v>
      </c>
      <c r="M63" s="279">
        <v>2022</v>
      </c>
      <c r="N63" s="280">
        <v>2023</v>
      </c>
      <c r="R63" s="591"/>
      <c r="S63" s="593"/>
      <c r="T63" s="278">
        <v>2021</v>
      </c>
      <c r="U63" s="279">
        <v>2022</v>
      </c>
      <c r="V63" s="280">
        <v>2023</v>
      </c>
      <c r="Z63" s="318" t="s">
        <v>232</v>
      </c>
      <c r="AA63" s="319">
        <f>T64</f>
        <v>6147</v>
      </c>
      <c r="AB63" s="319">
        <f>U64</f>
        <v>16259</v>
      </c>
      <c r="AC63" s="319">
        <f>V64</f>
        <v>-10900</v>
      </c>
    </row>
    <row r="64" spans="2:29" x14ac:dyDescent="0.3">
      <c r="J64" s="281" t="s">
        <v>202</v>
      </c>
      <c r="K64" s="282" t="s">
        <v>128</v>
      </c>
      <c r="L64" s="283">
        <v>6147</v>
      </c>
      <c r="M64" s="284">
        <f t="shared" ref="M64:M73" si="28">M6</f>
        <v>-52841</v>
      </c>
      <c r="N64" s="285">
        <v>-80000</v>
      </c>
      <c r="R64" s="281" t="s">
        <v>202</v>
      </c>
      <c r="S64" s="282" t="s">
        <v>128</v>
      </c>
      <c r="T64" s="283">
        <f t="shared" ref="T64:T83" si="29">L64-D6</f>
        <v>6147</v>
      </c>
      <c r="U64" s="284">
        <f t="shared" ref="U64:V64" si="30">M64-E6</f>
        <v>16259</v>
      </c>
      <c r="V64" s="285">
        <f t="shared" si="30"/>
        <v>-10900</v>
      </c>
      <c r="Z64" s="318" t="s">
        <v>85</v>
      </c>
      <c r="AA64" s="319">
        <f>T70</f>
        <v>40000</v>
      </c>
      <c r="AB64" s="319">
        <f>U70</f>
        <v>58837</v>
      </c>
      <c r="AC64" s="319">
        <f>V70</f>
        <v>125000</v>
      </c>
    </row>
    <row r="65" spans="10:29" x14ac:dyDescent="0.3">
      <c r="J65" s="286" t="s">
        <v>203</v>
      </c>
      <c r="K65" s="287" t="s">
        <v>128</v>
      </c>
      <c r="L65" s="288">
        <v>50000</v>
      </c>
      <c r="M65" s="284">
        <f t="shared" si="28"/>
        <v>50000</v>
      </c>
      <c r="N65" s="290">
        <v>0</v>
      </c>
      <c r="R65" s="286" t="s">
        <v>203</v>
      </c>
      <c r="S65" s="287" t="s">
        <v>128</v>
      </c>
      <c r="T65" s="288">
        <f t="shared" si="29"/>
        <v>0</v>
      </c>
      <c r="U65" s="289">
        <f t="shared" ref="U65:U83" si="31">M65-E7</f>
        <v>0</v>
      </c>
      <c r="V65" s="290">
        <f t="shared" ref="V65:V83" si="32">N65-F7</f>
        <v>0</v>
      </c>
      <c r="Z65" s="318" t="s">
        <v>237</v>
      </c>
      <c r="AA65" s="319">
        <f>T68</f>
        <v>0</v>
      </c>
      <c r="AB65" s="319">
        <f>U68</f>
        <v>78565</v>
      </c>
      <c r="AC65" s="319">
        <f>V68</f>
        <v>0</v>
      </c>
    </row>
    <row r="66" spans="10:29" x14ac:dyDescent="0.3">
      <c r="J66" s="286" t="s">
        <v>152</v>
      </c>
      <c r="K66" s="287" t="s">
        <v>128</v>
      </c>
      <c r="L66" s="288">
        <v>4685</v>
      </c>
      <c r="M66" s="284">
        <f t="shared" si="28"/>
        <v>4685</v>
      </c>
      <c r="N66" s="290">
        <v>0</v>
      </c>
      <c r="R66" s="286" t="s">
        <v>152</v>
      </c>
      <c r="S66" s="287" t="s">
        <v>128</v>
      </c>
      <c r="T66" s="288">
        <f t="shared" si="29"/>
        <v>0</v>
      </c>
      <c r="U66" s="289">
        <f t="shared" si="31"/>
        <v>0</v>
      </c>
      <c r="V66" s="290">
        <f t="shared" si="32"/>
        <v>0</v>
      </c>
      <c r="Z66" s="318" t="s">
        <v>236</v>
      </c>
      <c r="AA66" s="319">
        <f>T67</f>
        <v>4685</v>
      </c>
      <c r="AB66" s="319">
        <f>U67</f>
        <v>4685</v>
      </c>
      <c r="AC66" s="319">
        <f>V67</f>
        <v>0</v>
      </c>
    </row>
    <row r="67" spans="10:29" x14ac:dyDescent="0.3">
      <c r="J67" s="286" t="s">
        <v>204</v>
      </c>
      <c r="K67" s="287" t="s">
        <v>128</v>
      </c>
      <c r="L67" s="288">
        <v>4685</v>
      </c>
      <c r="M67" s="284">
        <f t="shared" si="28"/>
        <v>4685</v>
      </c>
      <c r="N67" s="290">
        <v>0</v>
      </c>
      <c r="R67" s="286" t="s">
        <v>204</v>
      </c>
      <c r="S67" s="287" t="s">
        <v>128</v>
      </c>
      <c r="T67" s="288">
        <f t="shared" si="29"/>
        <v>4685</v>
      </c>
      <c r="U67" s="289">
        <f t="shared" si="31"/>
        <v>4685</v>
      </c>
      <c r="V67" s="290">
        <f t="shared" si="32"/>
        <v>0</v>
      </c>
      <c r="Z67" s="318" t="s">
        <v>250</v>
      </c>
      <c r="AA67" s="319">
        <f>T75</f>
        <v>0</v>
      </c>
      <c r="AB67" s="319">
        <f t="shared" ref="AB67" si="33">U75</f>
        <v>87794</v>
      </c>
      <c r="AC67" s="319">
        <f t="shared" ref="AC67" si="34">V75</f>
        <v>0</v>
      </c>
    </row>
    <row r="68" spans="10:29" x14ac:dyDescent="0.3">
      <c r="J68" s="286" t="s">
        <v>205</v>
      </c>
      <c r="K68" s="287" t="s">
        <v>128</v>
      </c>
      <c r="L68" s="288">
        <v>40000</v>
      </c>
      <c r="M68" s="284">
        <f t="shared" si="28"/>
        <v>78565</v>
      </c>
      <c r="N68" s="290">
        <v>0</v>
      </c>
      <c r="R68" s="286" t="s">
        <v>205</v>
      </c>
      <c r="S68" s="287" t="s">
        <v>128</v>
      </c>
      <c r="T68" s="288">
        <f t="shared" si="29"/>
        <v>0</v>
      </c>
      <c r="U68" s="289">
        <f t="shared" si="31"/>
        <v>78565</v>
      </c>
      <c r="V68" s="290">
        <f t="shared" si="32"/>
        <v>0</v>
      </c>
      <c r="Z68" s="318" t="s">
        <v>255</v>
      </c>
      <c r="AA68" s="319">
        <f>T73</f>
        <v>0</v>
      </c>
      <c r="AB68" s="319">
        <f t="shared" ref="AB68:AC68" si="35">U73</f>
        <v>8523</v>
      </c>
      <c r="AC68" s="319">
        <f t="shared" si="35"/>
        <v>13670</v>
      </c>
    </row>
    <row r="69" spans="10:29" x14ac:dyDescent="0.3">
      <c r="J69" s="286" t="s">
        <v>206</v>
      </c>
      <c r="K69" s="287" t="s">
        <v>128</v>
      </c>
      <c r="L69" s="288">
        <v>369</v>
      </c>
      <c r="M69" s="284">
        <f t="shared" si="28"/>
        <v>132</v>
      </c>
      <c r="N69" s="290">
        <v>500</v>
      </c>
      <c r="R69" s="286" t="s">
        <v>206</v>
      </c>
      <c r="S69" s="287" t="s">
        <v>128</v>
      </c>
      <c r="T69" s="288">
        <f t="shared" si="29"/>
        <v>9</v>
      </c>
      <c r="U69" s="289">
        <f t="shared" si="31"/>
        <v>-268</v>
      </c>
      <c r="V69" s="290">
        <f t="shared" si="32"/>
        <v>100</v>
      </c>
      <c r="Z69" s="318" t="s">
        <v>251</v>
      </c>
      <c r="AA69" s="319">
        <f>T71</f>
        <v>0</v>
      </c>
      <c r="AB69" s="319">
        <f>U71</f>
        <v>9531</v>
      </c>
      <c r="AC69" s="319">
        <f>V71</f>
        <v>12819</v>
      </c>
    </row>
    <row r="70" spans="10:29" x14ac:dyDescent="0.3">
      <c r="J70" s="286" t="s">
        <v>207</v>
      </c>
      <c r="K70" s="287" t="s">
        <v>128</v>
      </c>
      <c r="L70" s="288">
        <v>40000</v>
      </c>
      <c r="M70" s="284">
        <f t="shared" si="28"/>
        <v>58837</v>
      </c>
      <c r="N70" s="290">
        <v>125000</v>
      </c>
      <c r="R70" s="286" t="s">
        <v>207</v>
      </c>
      <c r="S70" s="287" t="s">
        <v>128</v>
      </c>
      <c r="T70" s="288">
        <f t="shared" si="29"/>
        <v>40000</v>
      </c>
      <c r="U70" s="289">
        <f t="shared" si="31"/>
        <v>58837</v>
      </c>
      <c r="V70" s="290">
        <f t="shared" si="32"/>
        <v>125000</v>
      </c>
      <c r="Z70" s="318" t="s">
        <v>272</v>
      </c>
      <c r="AA70" s="318">
        <f>T72</f>
        <v>0</v>
      </c>
      <c r="AB70" s="318">
        <f t="shared" ref="AB70:AC70" si="36">U72</f>
        <v>0</v>
      </c>
      <c r="AC70" s="319">
        <f t="shared" si="36"/>
        <v>13933</v>
      </c>
    </row>
    <row r="71" spans="10:29" x14ac:dyDescent="0.3">
      <c r="J71" s="286" t="s">
        <v>208</v>
      </c>
      <c r="K71" s="287" t="s">
        <v>128</v>
      </c>
      <c r="L71" s="288">
        <v>6925</v>
      </c>
      <c r="M71" s="284">
        <f t="shared" si="28"/>
        <v>9531</v>
      </c>
      <c r="N71" s="290">
        <v>12819</v>
      </c>
      <c r="R71" s="286" t="s">
        <v>208</v>
      </c>
      <c r="S71" s="287" t="s">
        <v>128</v>
      </c>
      <c r="T71" s="288">
        <f t="shared" si="29"/>
        <v>0</v>
      </c>
      <c r="U71" s="289">
        <f t="shared" si="31"/>
        <v>9531</v>
      </c>
      <c r="V71" s="290">
        <f t="shared" si="32"/>
        <v>12819</v>
      </c>
      <c r="Z71" s="318" t="s">
        <v>271</v>
      </c>
      <c r="AA71" s="318">
        <f>T74</f>
        <v>0</v>
      </c>
      <c r="AB71" s="318">
        <f t="shared" ref="AB71:AC71" si="37">U74</f>
        <v>0</v>
      </c>
      <c r="AC71" s="319">
        <f t="shared" si="37"/>
        <v>3240</v>
      </c>
    </row>
    <row r="72" spans="10:29" x14ac:dyDescent="0.3">
      <c r="J72" s="286" t="s">
        <v>209</v>
      </c>
      <c r="K72" s="287" t="s">
        <v>128</v>
      </c>
      <c r="L72" s="288">
        <v>13933</v>
      </c>
      <c r="M72" s="284">
        <f t="shared" si="28"/>
        <v>13933</v>
      </c>
      <c r="N72" s="290">
        <v>13933</v>
      </c>
      <c r="R72" s="286" t="s">
        <v>209</v>
      </c>
      <c r="S72" s="287" t="s">
        <v>128</v>
      </c>
      <c r="T72" s="288">
        <f t="shared" si="29"/>
        <v>0</v>
      </c>
      <c r="U72" s="289">
        <f t="shared" si="31"/>
        <v>0</v>
      </c>
      <c r="V72" s="290">
        <f t="shared" si="32"/>
        <v>13933</v>
      </c>
      <c r="Z72" s="318" t="s">
        <v>233</v>
      </c>
      <c r="AA72" s="319">
        <f>T76</f>
        <v>58134</v>
      </c>
      <c r="AB72" s="319">
        <f>U76</f>
        <v>32391</v>
      </c>
      <c r="AC72" s="319">
        <f>V76</f>
        <v>470243</v>
      </c>
    </row>
    <row r="73" spans="10:29" x14ac:dyDescent="0.3">
      <c r="J73" s="286" t="s">
        <v>254</v>
      </c>
      <c r="K73" s="287" t="s">
        <v>128</v>
      </c>
      <c r="L73" s="288">
        <v>0</v>
      </c>
      <c r="M73" s="284">
        <f t="shared" si="28"/>
        <v>8523</v>
      </c>
      <c r="N73" s="290">
        <v>13670</v>
      </c>
      <c r="R73" s="286" t="s">
        <v>254</v>
      </c>
      <c r="S73" s="287" t="s">
        <v>128</v>
      </c>
      <c r="T73" s="288">
        <f t="shared" si="29"/>
        <v>0</v>
      </c>
      <c r="U73" s="289">
        <f t="shared" si="31"/>
        <v>8523</v>
      </c>
      <c r="V73" s="290">
        <f t="shared" si="32"/>
        <v>13670</v>
      </c>
      <c r="Z73" s="318" t="s">
        <v>234</v>
      </c>
      <c r="AA73" s="319">
        <f t="shared" ref="AA73:AC74" si="38">T79</f>
        <v>12305</v>
      </c>
      <c r="AB73" s="319">
        <f t="shared" si="38"/>
        <v>52921</v>
      </c>
      <c r="AC73" s="319">
        <f t="shared" si="38"/>
        <v>93400</v>
      </c>
    </row>
    <row r="74" spans="10:29" x14ac:dyDescent="0.3">
      <c r="J74" s="286" t="s">
        <v>270</v>
      </c>
      <c r="K74" s="287" t="s">
        <v>128</v>
      </c>
      <c r="L74" s="288">
        <v>0</v>
      </c>
      <c r="M74" s="289">
        <v>0</v>
      </c>
      <c r="N74" s="290">
        <v>3240</v>
      </c>
      <c r="R74" s="286" t="s">
        <v>270</v>
      </c>
      <c r="S74" s="287" t="s">
        <v>128</v>
      </c>
      <c r="T74" s="288">
        <f t="shared" si="29"/>
        <v>0</v>
      </c>
      <c r="U74" s="289">
        <f t="shared" si="31"/>
        <v>0</v>
      </c>
      <c r="V74" s="290">
        <f t="shared" si="32"/>
        <v>3240</v>
      </c>
      <c r="Z74" s="318" t="s">
        <v>266</v>
      </c>
      <c r="AA74" s="319">
        <f t="shared" si="38"/>
        <v>0</v>
      </c>
      <c r="AB74" s="319">
        <f t="shared" si="38"/>
        <v>9083</v>
      </c>
      <c r="AC74" s="319">
        <f t="shared" si="38"/>
        <v>0</v>
      </c>
    </row>
    <row r="75" spans="10:29" x14ac:dyDescent="0.3">
      <c r="J75" s="286" t="s">
        <v>249</v>
      </c>
      <c r="K75" s="287" t="s">
        <v>128</v>
      </c>
      <c r="L75" s="288">
        <v>0</v>
      </c>
      <c r="M75" s="284">
        <f t="shared" ref="M75:M81" si="39">M17</f>
        <v>87794</v>
      </c>
      <c r="N75" s="290">
        <v>0</v>
      </c>
      <c r="R75" s="286" t="s">
        <v>249</v>
      </c>
      <c r="S75" s="287" t="s">
        <v>128</v>
      </c>
      <c r="T75" s="288">
        <f t="shared" si="29"/>
        <v>0</v>
      </c>
      <c r="U75" s="289">
        <f t="shared" si="31"/>
        <v>87794</v>
      </c>
      <c r="V75" s="290">
        <f t="shared" si="32"/>
        <v>0</v>
      </c>
      <c r="Z75" s="318" t="s">
        <v>273</v>
      </c>
      <c r="AA75" s="319">
        <f t="shared" ref="AA75" si="40">T81</f>
        <v>0</v>
      </c>
      <c r="AB75" s="319">
        <f t="shared" ref="AB75" si="41">U81</f>
        <v>25000</v>
      </c>
      <c r="AC75" s="319">
        <f t="shared" ref="AC75" si="42">V81</f>
        <v>0</v>
      </c>
    </row>
    <row r="76" spans="10:29" x14ac:dyDescent="0.3">
      <c r="J76" s="291" t="s">
        <v>210</v>
      </c>
      <c r="K76" s="292" t="s">
        <v>126</v>
      </c>
      <c r="L76" s="293">
        <v>-18786</v>
      </c>
      <c r="M76" s="365">
        <f t="shared" si="39"/>
        <v>-111392</v>
      </c>
      <c r="N76" s="295">
        <f>-'OLD 2023'!L8</f>
        <v>450000</v>
      </c>
      <c r="R76" s="291" t="s">
        <v>210</v>
      </c>
      <c r="S76" s="292" t="s">
        <v>126</v>
      </c>
      <c r="T76" s="293">
        <f t="shared" si="29"/>
        <v>58134</v>
      </c>
      <c r="U76" s="294">
        <f t="shared" si="31"/>
        <v>32391</v>
      </c>
      <c r="V76" s="295">
        <f t="shared" si="32"/>
        <v>470243</v>
      </c>
      <c r="Z76" s="320" t="s">
        <v>235</v>
      </c>
      <c r="AA76" s="321">
        <f>T82</f>
        <v>12832</v>
      </c>
      <c r="AB76" s="321">
        <f>U82</f>
        <v>28330</v>
      </c>
      <c r="AC76" s="321">
        <f>V82</f>
        <v>23333</v>
      </c>
    </row>
    <row r="77" spans="10:29" x14ac:dyDescent="0.3">
      <c r="J77" s="291" t="s">
        <v>211</v>
      </c>
      <c r="K77" s="292" t="s">
        <v>126</v>
      </c>
      <c r="L77" s="293">
        <v>1579</v>
      </c>
      <c r="M77" s="365">
        <f t="shared" si="39"/>
        <v>0</v>
      </c>
      <c r="N77" s="295">
        <v>0</v>
      </c>
      <c r="R77" s="291" t="s">
        <v>211</v>
      </c>
      <c r="S77" s="292" t="s">
        <v>126</v>
      </c>
      <c r="T77" s="293">
        <f t="shared" si="29"/>
        <v>0</v>
      </c>
      <c r="U77" s="294">
        <f t="shared" si="31"/>
        <v>0</v>
      </c>
      <c r="V77" s="295">
        <f t="shared" si="32"/>
        <v>0</v>
      </c>
      <c r="Z77" s="322" t="s">
        <v>224</v>
      </c>
      <c r="AA77" s="323">
        <f>SUM(AA63:AA76)</f>
        <v>134103</v>
      </c>
      <c r="AB77" s="323">
        <f>SUM(AB63:AB76)</f>
        <v>411919</v>
      </c>
      <c r="AC77" s="323">
        <f>SUM(AC63:AC76)</f>
        <v>744738</v>
      </c>
    </row>
    <row r="78" spans="10:29" x14ac:dyDescent="0.3">
      <c r="J78" s="291" t="s">
        <v>212</v>
      </c>
      <c r="K78" s="292" t="s">
        <v>126</v>
      </c>
      <c r="L78" s="293">
        <v>175</v>
      </c>
      <c r="M78" s="365">
        <f t="shared" si="39"/>
        <v>141</v>
      </c>
      <c r="N78" s="295">
        <v>145</v>
      </c>
      <c r="R78" s="291" t="s">
        <v>212</v>
      </c>
      <c r="S78" s="292" t="s">
        <v>126</v>
      </c>
      <c r="T78" s="293">
        <f t="shared" si="29"/>
        <v>30</v>
      </c>
      <c r="U78" s="294">
        <f t="shared" si="31"/>
        <v>-4</v>
      </c>
      <c r="V78" s="295">
        <f t="shared" si="32"/>
        <v>0</v>
      </c>
      <c r="Z78" s="322" t="s">
        <v>225</v>
      </c>
      <c r="AA78" s="323">
        <f>AA77</f>
        <v>134103</v>
      </c>
      <c r="AB78" s="323">
        <f>AA78+AB77</f>
        <v>546022</v>
      </c>
      <c r="AC78" s="323">
        <f>AB78+AC77</f>
        <v>1290760</v>
      </c>
    </row>
    <row r="79" spans="10:29" x14ac:dyDescent="0.3">
      <c r="J79" s="291" t="s">
        <v>213</v>
      </c>
      <c r="K79" s="292" t="s">
        <v>126</v>
      </c>
      <c r="L79" s="293">
        <v>12305</v>
      </c>
      <c r="M79" s="365">
        <f t="shared" si="39"/>
        <v>52921</v>
      </c>
      <c r="N79" s="295">
        <f>-'OLD 2023'!L11</f>
        <v>93400</v>
      </c>
      <c r="R79" s="291" t="s">
        <v>213</v>
      </c>
      <c r="S79" s="292" t="s">
        <v>126</v>
      </c>
      <c r="T79" s="293">
        <f t="shared" si="29"/>
        <v>12305</v>
      </c>
      <c r="U79" s="294">
        <f t="shared" si="31"/>
        <v>52921</v>
      </c>
      <c r="V79" s="295">
        <f t="shared" si="32"/>
        <v>93400</v>
      </c>
    </row>
    <row r="80" spans="10:29" x14ac:dyDescent="0.3">
      <c r="J80" s="291" t="s">
        <v>266</v>
      </c>
      <c r="K80" s="292" t="s">
        <v>126</v>
      </c>
      <c r="L80" s="293">
        <v>0</v>
      </c>
      <c r="M80" s="365">
        <f t="shared" si="39"/>
        <v>9083</v>
      </c>
      <c r="N80" s="295">
        <v>0</v>
      </c>
      <c r="R80" s="291" t="s">
        <v>266</v>
      </c>
      <c r="S80" s="292" t="s">
        <v>126</v>
      </c>
      <c r="T80" s="293">
        <f t="shared" si="29"/>
        <v>0</v>
      </c>
      <c r="U80" s="294">
        <f t="shared" si="31"/>
        <v>9083</v>
      </c>
      <c r="V80" s="295">
        <f t="shared" si="32"/>
        <v>0</v>
      </c>
    </row>
    <row r="81" spans="10:22" x14ac:dyDescent="0.3">
      <c r="J81" s="291" t="s">
        <v>273</v>
      </c>
      <c r="K81" s="292" t="s">
        <v>126</v>
      </c>
      <c r="L81" s="293">
        <v>0</v>
      </c>
      <c r="M81" s="365">
        <f t="shared" si="39"/>
        <v>25000</v>
      </c>
      <c r="N81" s="295">
        <v>0</v>
      </c>
      <c r="R81" s="291" t="s">
        <v>273</v>
      </c>
      <c r="S81" s="292" t="s">
        <v>126</v>
      </c>
      <c r="T81" s="293">
        <f t="shared" si="29"/>
        <v>0</v>
      </c>
      <c r="U81" s="294">
        <f t="shared" si="31"/>
        <v>25000</v>
      </c>
      <c r="V81" s="295">
        <f t="shared" si="32"/>
        <v>0</v>
      </c>
    </row>
    <row r="82" spans="10:22" x14ac:dyDescent="0.3">
      <c r="J82" s="296" t="s">
        <v>214</v>
      </c>
      <c r="K82" s="297" t="s">
        <v>127</v>
      </c>
      <c r="L82" s="298">
        <v>49832</v>
      </c>
      <c r="M82" s="366">
        <f t="shared" ref="M82:M83" si="43">M24</f>
        <v>55330</v>
      </c>
      <c r="N82" s="300">
        <v>41333</v>
      </c>
      <c r="R82" s="296" t="s">
        <v>214</v>
      </c>
      <c r="S82" s="297" t="s">
        <v>127</v>
      </c>
      <c r="T82" s="298">
        <f t="shared" si="29"/>
        <v>12832</v>
      </c>
      <c r="U82" s="299">
        <f t="shared" si="31"/>
        <v>28330</v>
      </c>
      <c r="V82" s="300">
        <f t="shared" si="32"/>
        <v>23333</v>
      </c>
    </row>
    <row r="83" spans="10:22" ht="15" thickBot="1" x14ac:dyDescent="0.35">
      <c r="J83" s="301" t="s">
        <v>215</v>
      </c>
      <c r="K83" s="302" t="s">
        <v>127</v>
      </c>
      <c r="L83" s="303">
        <v>35408</v>
      </c>
      <c r="M83" s="366">
        <f t="shared" si="43"/>
        <v>35678</v>
      </c>
      <c r="N83" s="305">
        <v>30000</v>
      </c>
      <c r="R83" s="301" t="s">
        <v>215</v>
      </c>
      <c r="S83" s="302" t="s">
        <v>127</v>
      </c>
      <c r="T83" s="303">
        <f t="shared" si="29"/>
        <v>5408</v>
      </c>
      <c r="U83" s="304">
        <f t="shared" si="31"/>
        <v>5678</v>
      </c>
      <c r="V83" s="305">
        <f t="shared" si="32"/>
        <v>0</v>
      </c>
    </row>
    <row r="84" spans="10:22" ht="15" thickBot="1" x14ac:dyDescent="0.35">
      <c r="J84" s="306" t="s">
        <v>216</v>
      </c>
      <c r="K84" s="307" t="s">
        <v>217</v>
      </c>
      <c r="L84" s="308">
        <f>SUM(L64:L83)</f>
        <v>247257</v>
      </c>
      <c r="M84" s="309">
        <f>SUM(M64:M83)</f>
        <v>330605</v>
      </c>
      <c r="N84" s="310">
        <f>SUM(N64:N83)</f>
        <v>704040</v>
      </c>
      <c r="R84" s="306" t="s">
        <v>216</v>
      </c>
      <c r="S84" s="307" t="s">
        <v>217</v>
      </c>
      <c r="T84" s="308">
        <f>SUM(T64:T83)</f>
        <v>139550</v>
      </c>
      <c r="U84" s="309">
        <f>SUM(U64:U83)</f>
        <v>417325</v>
      </c>
      <c r="V84" s="310">
        <f>SUM(V64:V83)</f>
        <v>744838</v>
      </c>
    </row>
  </sheetData>
  <mergeCells count="21">
    <mergeCell ref="L4:N4"/>
    <mergeCell ref="B4:B5"/>
    <mergeCell ref="C4:C5"/>
    <mergeCell ref="D4:F4"/>
    <mergeCell ref="J4:J5"/>
    <mergeCell ref="K4:K5"/>
    <mergeCell ref="T33:V33"/>
    <mergeCell ref="R62:R63"/>
    <mergeCell ref="S62:S63"/>
    <mergeCell ref="T62:V62"/>
    <mergeCell ref="R4:R5"/>
    <mergeCell ref="S4:S5"/>
    <mergeCell ref="T4:V4"/>
    <mergeCell ref="J62:J63"/>
    <mergeCell ref="K62:K63"/>
    <mergeCell ref="L62:N62"/>
    <mergeCell ref="R33:R34"/>
    <mergeCell ref="S33:S34"/>
    <mergeCell ref="J33:J34"/>
    <mergeCell ref="K33:K34"/>
    <mergeCell ref="L33:N3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CBBD-A2D8-48E0-804B-CC384BFED3E0}">
  <sheetPr codeName="Sheet12"/>
  <dimension ref="B2:E14"/>
  <sheetViews>
    <sheetView workbookViewId="0">
      <selection activeCell="B3" sqref="B3"/>
    </sheetView>
  </sheetViews>
  <sheetFormatPr defaultRowHeight="14.4" x14ac:dyDescent="0.3"/>
  <cols>
    <col min="2" max="4" width="9.5546875" customWidth="1"/>
  </cols>
  <sheetData>
    <row r="2" spans="2:5" ht="17.850000000000001" customHeight="1" x14ac:dyDescent="0.3">
      <c r="B2" s="215">
        <v>45054</v>
      </c>
    </row>
    <row r="3" spans="2:5" ht="17.850000000000001" customHeight="1" x14ac:dyDescent="0.3">
      <c r="B3" s="267" t="s">
        <v>196</v>
      </c>
    </row>
    <row r="4" spans="2:5" ht="17.850000000000001" customHeight="1" x14ac:dyDescent="0.3">
      <c r="B4" s="268"/>
      <c r="C4" s="262">
        <v>2023</v>
      </c>
      <c r="D4" s="262">
        <v>2024</v>
      </c>
      <c r="E4" s="262">
        <v>2025</v>
      </c>
    </row>
    <row r="5" spans="2:5" ht="17.850000000000001" customHeight="1" x14ac:dyDescent="0.3">
      <c r="B5" s="269" t="s">
        <v>193</v>
      </c>
      <c r="C5" s="270">
        <v>906442</v>
      </c>
      <c r="D5" s="270">
        <v>585119</v>
      </c>
      <c r="E5" s="270">
        <v>635119</v>
      </c>
    </row>
    <row r="6" spans="2:5" ht="17.850000000000001" customHeight="1" x14ac:dyDescent="0.3">
      <c r="B6" s="269" t="s">
        <v>194</v>
      </c>
      <c r="C6" s="270">
        <v>754811</v>
      </c>
      <c r="D6" s="270">
        <v>445119</v>
      </c>
      <c r="E6" s="270">
        <v>577718</v>
      </c>
    </row>
    <row r="7" spans="2:5" ht="17.850000000000001" customHeight="1" x14ac:dyDescent="0.3">
      <c r="B7" s="269" t="s">
        <v>195</v>
      </c>
      <c r="C7" s="270"/>
      <c r="D7" s="270"/>
      <c r="E7" s="270"/>
    </row>
    <row r="8" spans="2:5" ht="17.850000000000001" customHeight="1" x14ac:dyDescent="0.3">
      <c r="B8" s="267"/>
      <c r="C8" s="1"/>
      <c r="D8" s="1"/>
    </row>
    <row r="9" spans="2:5" ht="17.850000000000001" customHeight="1" x14ac:dyDescent="0.3">
      <c r="B9" s="215">
        <f>B2</f>
        <v>45054</v>
      </c>
    </row>
    <row r="10" spans="2:5" ht="17.850000000000001" customHeight="1" x14ac:dyDescent="0.3">
      <c r="B10" s="267" t="s">
        <v>197</v>
      </c>
    </row>
    <row r="11" spans="2:5" ht="17.850000000000001" customHeight="1" x14ac:dyDescent="0.3">
      <c r="B11" s="268"/>
      <c r="C11" s="262">
        <v>2023</v>
      </c>
      <c r="D11" s="262">
        <v>2024</v>
      </c>
      <c r="E11" s="262">
        <v>2025</v>
      </c>
    </row>
    <row r="12" spans="2:5" ht="17.850000000000001" customHeight="1" x14ac:dyDescent="0.3">
      <c r="B12" s="269" t="s">
        <v>193</v>
      </c>
      <c r="C12" s="270">
        <f t="shared" ref="C12:D12" si="0">845000-C5</f>
        <v>-61442</v>
      </c>
      <c r="D12" s="270">
        <f t="shared" si="0"/>
        <v>259881</v>
      </c>
      <c r="E12" s="270">
        <f t="shared" ref="E12" si="1">845000-E5</f>
        <v>209881</v>
      </c>
    </row>
    <row r="13" spans="2:5" ht="17.850000000000001" customHeight="1" x14ac:dyDescent="0.3">
      <c r="B13" s="269" t="s">
        <v>194</v>
      </c>
      <c r="C13" s="270">
        <f t="shared" ref="C13:D13" si="2">845000-C6</f>
        <v>90189</v>
      </c>
      <c r="D13" s="270">
        <f t="shared" si="2"/>
        <v>399881</v>
      </c>
      <c r="E13" s="270">
        <f t="shared" ref="E13" si="3">845000-E6</f>
        <v>267282</v>
      </c>
    </row>
    <row r="14" spans="2:5" ht="17.850000000000001" customHeight="1" x14ac:dyDescent="0.3">
      <c r="B14" s="269" t="s">
        <v>195</v>
      </c>
      <c r="C14" s="337">
        <f t="shared" ref="C14:D14" si="4">845000-C7</f>
        <v>845000</v>
      </c>
      <c r="D14" s="337">
        <f t="shared" si="4"/>
        <v>845000</v>
      </c>
      <c r="E14" s="337">
        <f t="shared" ref="E14" si="5">845000-E7</f>
        <v>845000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CDE4-6AFE-4C22-B103-C0A2F310A300}">
  <sheetPr codeName="Sheet3"/>
  <dimension ref="A1:Q40"/>
  <sheetViews>
    <sheetView workbookViewId="0">
      <selection activeCell="E8" sqref="E8"/>
    </sheetView>
  </sheetViews>
  <sheetFormatPr defaultRowHeight="14.4" x14ac:dyDescent="0.3"/>
  <cols>
    <col min="1" max="1" width="22.44140625" bestFit="1" customWidth="1"/>
    <col min="2" max="2" width="14.44140625" customWidth="1"/>
    <col min="3" max="3" width="14" bestFit="1" customWidth="1"/>
    <col min="4" max="4" width="12.5546875" customWidth="1"/>
    <col min="5" max="5" width="13.44140625" bestFit="1" customWidth="1"/>
    <col min="14" max="15" width="9.5546875" bestFit="1" customWidth="1"/>
  </cols>
  <sheetData>
    <row r="1" spans="1:17" x14ac:dyDescent="0.3">
      <c r="A1" t="s">
        <v>193</v>
      </c>
      <c r="B1" s="331">
        <v>44958</v>
      </c>
    </row>
    <row r="2" spans="1:17" x14ac:dyDescent="0.3">
      <c r="K2" t="s">
        <v>193</v>
      </c>
    </row>
    <row r="3" spans="1:17" s="332" customFormat="1" ht="27.6" customHeight="1" x14ac:dyDescent="0.3">
      <c r="B3" s="332" t="s">
        <v>243</v>
      </c>
      <c r="C3" s="332" t="s">
        <v>244</v>
      </c>
      <c r="D3" s="332" t="s">
        <v>246</v>
      </c>
      <c r="E3" s="332" t="s">
        <v>245</v>
      </c>
      <c r="G3" s="332" t="s">
        <v>248</v>
      </c>
      <c r="H3" s="332" t="s">
        <v>247</v>
      </c>
      <c r="L3" s="367"/>
      <c r="M3" s="368"/>
      <c r="N3" s="369" t="s">
        <v>259</v>
      </c>
      <c r="O3" s="368" t="s">
        <v>260</v>
      </c>
    </row>
    <row r="4" spans="1:17" x14ac:dyDescent="0.3">
      <c r="A4" s="215">
        <v>45170</v>
      </c>
      <c r="B4" s="338">
        <v>7548.72</v>
      </c>
      <c r="C4" s="214">
        <v>7068.72</v>
      </c>
      <c r="D4" s="338">
        <v>6588.72</v>
      </c>
      <c r="E4" s="214">
        <v>7068.72</v>
      </c>
      <c r="G4" s="214">
        <f>C4-E4</f>
        <v>0</v>
      </c>
      <c r="H4" s="214">
        <f>B4-D4</f>
        <v>960</v>
      </c>
      <c r="L4" s="220" t="s">
        <v>136</v>
      </c>
      <c r="M4" s="347">
        <v>45170</v>
      </c>
      <c r="N4" s="341">
        <v>3556.61</v>
      </c>
      <c r="O4" s="350">
        <v>3549.56</v>
      </c>
      <c r="P4" s="332"/>
      <c r="Q4" s="332"/>
    </row>
    <row r="5" spans="1:17" x14ac:dyDescent="0.3">
      <c r="A5" s="215">
        <v>45536</v>
      </c>
      <c r="B5" s="338">
        <v>8512.94</v>
      </c>
      <c r="C5" s="214">
        <v>8032.94</v>
      </c>
      <c r="D5" s="338">
        <v>5520.23</v>
      </c>
      <c r="E5" s="214">
        <v>6000.23</v>
      </c>
      <c r="G5" s="214">
        <f t="shared" ref="G5:G6" si="0">C5-E5</f>
        <v>2032.71</v>
      </c>
      <c r="H5" s="214">
        <f t="shared" ref="H5:H6" si="1">B5-D5</f>
        <v>2992.7100000000009</v>
      </c>
      <c r="L5" s="220" t="s">
        <v>137</v>
      </c>
      <c r="M5" s="347">
        <v>45170</v>
      </c>
      <c r="N5" s="341">
        <v>1034.27</v>
      </c>
      <c r="O5" s="350">
        <v>1041.32</v>
      </c>
      <c r="P5" s="332"/>
      <c r="Q5" s="332"/>
    </row>
    <row r="6" spans="1:17" x14ac:dyDescent="0.3">
      <c r="A6" s="215">
        <v>45901</v>
      </c>
      <c r="B6" s="214">
        <v>9871.7999999999993</v>
      </c>
      <c r="C6" s="214">
        <v>9391.7999999999993</v>
      </c>
      <c r="D6" s="214">
        <v>4559.87</v>
      </c>
      <c r="E6" s="214">
        <v>5039.87</v>
      </c>
      <c r="G6" s="214">
        <f t="shared" si="0"/>
        <v>4351.9299999999994</v>
      </c>
      <c r="H6" s="214">
        <f t="shared" si="1"/>
        <v>5311.9299999999994</v>
      </c>
      <c r="L6" s="216" t="s">
        <v>136</v>
      </c>
      <c r="M6" s="345">
        <v>45282</v>
      </c>
      <c r="N6" s="343">
        <v>3552</v>
      </c>
      <c r="O6" s="348">
        <v>3544.75</v>
      </c>
      <c r="P6" s="332"/>
      <c r="Q6" s="332"/>
    </row>
    <row r="7" spans="1:17" x14ac:dyDescent="0.3">
      <c r="L7" s="218" t="s">
        <v>137</v>
      </c>
      <c r="M7" s="346">
        <v>45282</v>
      </c>
      <c r="N7" s="342">
        <v>1034.6199999999999</v>
      </c>
      <c r="O7" s="349">
        <v>1041.6500000000001</v>
      </c>
      <c r="P7" s="332"/>
      <c r="Q7" s="332"/>
    </row>
    <row r="8" spans="1:17" x14ac:dyDescent="0.3">
      <c r="A8" s="17" t="s">
        <v>258</v>
      </c>
      <c r="B8">
        <v>2023</v>
      </c>
      <c r="C8">
        <v>2024</v>
      </c>
      <c r="L8" s="220" t="s">
        <v>136</v>
      </c>
      <c r="M8" s="347">
        <v>45536</v>
      </c>
      <c r="N8" s="341">
        <v>3569.93</v>
      </c>
      <c r="O8" s="350">
        <v>3563.44</v>
      </c>
      <c r="P8" s="332"/>
      <c r="Q8" s="332"/>
    </row>
    <row r="9" spans="1:17" x14ac:dyDescent="0.3">
      <c r="A9" s="17" t="s">
        <v>136</v>
      </c>
      <c r="B9" s="214">
        <v>3538.66</v>
      </c>
      <c r="C9" s="214">
        <v>3555.07</v>
      </c>
      <c r="L9" s="218" t="s">
        <v>137</v>
      </c>
      <c r="M9" s="346">
        <v>45536</v>
      </c>
      <c r="N9" s="342">
        <v>1017.68</v>
      </c>
      <c r="O9" s="349">
        <v>1025.3</v>
      </c>
      <c r="P9" s="332"/>
      <c r="Q9" s="332"/>
    </row>
    <row r="10" spans="1:17" x14ac:dyDescent="0.3">
      <c r="A10" s="17" t="s">
        <v>137</v>
      </c>
      <c r="B10" s="214">
        <v>1041.6500000000001</v>
      </c>
      <c r="C10" s="214">
        <v>1026.1099999999999</v>
      </c>
      <c r="L10" s="220" t="s">
        <v>136</v>
      </c>
      <c r="M10" s="345">
        <v>45648</v>
      </c>
      <c r="N10" s="341">
        <v>3567.21</v>
      </c>
      <c r="O10" s="350">
        <v>3560.6</v>
      </c>
      <c r="P10" s="332"/>
      <c r="Q10" s="332"/>
    </row>
    <row r="11" spans="1:17" x14ac:dyDescent="0.3">
      <c r="L11" s="218" t="s">
        <v>137</v>
      </c>
      <c r="M11" s="346">
        <v>45648</v>
      </c>
      <c r="N11" s="342">
        <v>1018.52</v>
      </c>
      <c r="O11" s="349">
        <v>1026.1099999999999</v>
      </c>
      <c r="P11" s="332"/>
      <c r="Q11" s="332"/>
    </row>
    <row r="12" spans="1:17" x14ac:dyDescent="0.3">
      <c r="P12" s="332"/>
      <c r="Q12" s="332"/>
    </row>
    <row r="13" spans="1:17" x14ac:dyDescent="0.3">
      <c r="A13" t="s">
        <v>194</v>
      </c>
      <c r="B13" s="331">
        <v>44958</v>
      </c>
      <c r="K13" t="s">
        <v>194</v>
      </c>
      <c r="P13" s="332"/>
      <c r="Q13" s="332"/>
    </row>
    <row r="14" spans="1:17" s="332" customFormat="1" ht="28.35" customHeight="1" x14ac:dyDescent="0.3">
      <c r="A14"/>
      <c r="B14" s="332" t="s">
        <v>243</v>
      </c>
      <c r="C14" s="332" t="s">
        <v>244</v>
      </c>
      <c r="D14" s="332" t="s">
        <v>246</v>
      </c>
      <c r="E14" s="332" t="s">
        <v>245</v>
      </c>
      <c r="G14" s="332" t="s">
        <v>248</v>
      </c>
      <c r="H14" s="332" t="s">
        <v>247</v>
      </c>
      <c r="L14" s="339"/>
      <c r="M14" s="368"/>
      <c r="N14" s="340" t="s">
        <v>259</v>
      </c>
      <c r="O14" s="344" t="s">
        <v>260</v>
      </c>
    </row>
    <row r="15" spans="1:17" ht="20.100000000000001" customHeight="1" x14ac:dyDescent="0.3">
      <c r="A15" s="215">
        <v>45170</v>
      </c>
      <c r="B15" s="214">
        <v>6842.67</v>
      </c>
      <c r="C15" s="214">
        <v>6362.67</v>
      </c>
      <c r="D15" s="214">
        <v>5882.67</v>
      </c>
      <c r="E15" s="214">
        <v>6362.67</v>
      </c>
      <c r="G15" s="214">
        <f>C15-E15</f>
        <v>0</v>
      </c>
      <c r="H15" s="214">
        <f>B15-D15</f>
        <v>960</v>
      </c>
      <c r="L15" s="216" t="s">
        <v>136</v>
      </c>
      <c r="M15" s="347">
        <v>45170</v>
      </c>
      <c r="N15" s="343">
        <v>3546.13</v>
      </c>
      <c r="O15" s="348">
        <v>3538.62</v>
      </c>
    </row>
    <row r="16" spans="1:17" x14ac:dyDescent="0.3">
      <c r="A16" s="215">
        <v>45536</v>
      </c>
      <c r="B16" s="214">
        <v>6138.42</v>
      </c>
      <c r="C16" s="214">
        <v>5658.42</v>
      </c>
      <c r="D16" s="214">
        <v>4331.46</v>
      </c>
      <c r="E16" s="214">
        <v>4811.46</v>
      </c>
      <c r="G16" s="214">
        <f t="shared" ref="G16:G17" si="2">C16-E16</f>
        <v>846.96</v>
      </c>
      <c r="H16" s="214">
        <f t="shared" ref="H16:H17" si="3">B16-D16</f>
        <v>1806.96</v>
      </c>
      <c r="L16" s="218" t="s">
        <v>137</v>
      </c>
      <c r="M16" s="347">
        <v>45170</v>
      </c>
      <c r="N16" s="342">
        <v>1023.46</v>
      </c>
      <c r="O16" s="349">
        <v>1030.8699999999999</v>
      </c>
    </row>
    <row r="17" spans="1:15" x14ac:dyDescent="0.3">
      <c r="A17" s="215">
        <v>45901</v>
      </c>
      <c r="B17" s="214">
        <v>5708.08</v>
      </c>
      <c r="C17" s="214">
        <v>5228.08</v>
      </c>
      <c r="D17" s="214">
        <v>4748.08</v>
      </c>
      <c r="E17" s="214">
        <v>5228.08</v>
      </c>
      <c r="G17" s="214">
        <f t="shared" si="2"/>
        <v>0</v>
      </c>
      <c r="H17" s="214">
        <f t="shared" si="3"/>
        <v>960</v>
      </c>
      <c r="L17" s="220" t="s">
        <v>136</v>
      </c>
      <c r="M17" s="345">
        <v>45282</v>
      </c>
      <c r="N17" s="341">
        <v>3539.35</v>
      </c>
      <c r="O17" s="350">
        <v>3531.53</v>
      </c>
    </row>
    <row r="18" spans="1:15" x14ac:dyDescent="0.3">
      <c r="A18" s="215"/>
      <c r="B18" s="214"/>
      <c r="C18" s="214"/>
      <c r="D18" s="214"/>
      <c r="E18" s="214"/>
      <c r="L18" s="220" t="s">
        <v>137</v>
      </c>
      <c r="M18" s="346">
        <v>45282</v>
      </c>
      <c r="N18" s="341">
        <v>1022.94</v>
      </c>
      <c r="O18" s="350">
        <v>1030.3699999999999</v>
      </c>
    </row>
    <row r="19" spans="1:15" x14ac:dyDescent="0.3">
      <c r="L19" s="216" t="s">
        <v>136</v>
      </c>
      <c r="M19" s="347">
        <v>45536</v>
      </c>
      <c r="N19" s="343">
        <v>3535</v>
      </c>
      <c r="O19" s="348">
        <v>3526.96</v>
      </c>
    </row>
    <row r="20" spans="1:15" x14ac:dyDescent="0.3">
      <c r="A20" s="17" t="s">
        <v>258</v>
      </c>
      <c r="B20">
        <v>2023</v>
      </c>
      <c r="C20">
        <v>2024</v>
      </c>
      <c r="L20" s="218" t="s">
        <v>137</v>
      </c>
      <c r="M20" s="346">
        <v>45536</v>
      </c>
      <c r="N20" s="342">
        <v>997.43</v>
      </c>
      <c r="O20" s="349">
        <v>1005.87</v>
      </c>
    </row>
    <row r="21" spans="1:15" x14ac:dyDescent="0.3">
      <c r="A21" s="17" t="s">
        <v>136</v>
      </c>
      <c r="B21" s="214">
        <v>3524.92</v>
      </c>
      <c r="C21" s="214">
        <v>3513.17</v>
      </c>
      <c r="L21" s="220" t="s">
        <v>136</v>
      </c>
      <c r="M21" s="345">
        <v>45648</v>
      </c>
      <c r="N21" s="341">
        <v>3521.91</v>
      </c>
      <c r="O21" s="350">
        <v>3513.17</v>
      </c>
    </row>
    <row r="22" spans="1:15" x14ac:dyDescent="0.3">
      <c r="A22" s="17" t="s">
        <v>137</v>
      </c>
      <c r="B22" s="214">
        <v>1030.3699999999999</v>
      </c>
      <c r="C22" s="214">
        <v>1013.39</v>
      </c>
      <c r="L22" s="218" t="s">
        <v>137</v>
      </c>
      <c r="M22" s="346">
        <v>45648</v>
      </c>
      <c r="N22" s="342">
        <v>1005.3</v>
      </c>
      <c r="O22" s="349">
        <v>1013.39</v>
      </c>
    </row>
    <row r="23" spans="1:15" x14ac:dyDescent="0.3">
      <c r="A23" s="17"/>
      <c r="B23" s="214"/>
      <c r="C23" s="214"/>
    </row>
    <row r="24" spans="1:15" x14ac:dyDescent="0.3">
      <c r="A24" s="17"/>
    </row>
    <row r="25" spans="1:15" x14ac:dyDescent="0.3">
      <c r="A25" s="17"/>
      <c r="B25" s="214"/>
      <c r="C25" s="214"/>
    </row>
    <row r="26" spans="1:15" x14ac:dyDescent="0.3">
      <c r="A26" s="17"/>
      <c r="B26" s="214"/>
      <c r="C26" s="214"/>
    </row>
    <row r="28" spans="1:15" x14ac:dyDescent="0.3">
      <c r="A28" t="s">
        <v>195</v>
      </c>
      <c r="B28" s="331">
        <v>44781</v>
      </c>
      <c r="K28" t="s">
        <v>195</v>
      </c>
    </row>
    <row r="29" spans="1:15" ht="43.2" x14ac:dyDescent="0.3">
      <c r="F29" s="332"/>
      <c r="G29" s="332" t="s">
        <v>248</v>
      </c>
      <c r="H29" s="332" t="s">
        <v>247</v>
      </c>
      <c r="K29" s="332"/>
      <c r="L29" s="339"/>
      <c r="M29" s="368"/>
      <c r="N29" s="340" t="s">
        <v>259</v>
      </c>
      <c r="O29" s="344" t="s">
        <v>260</v>
      </c>
    </row>
    <row r="30" spans="1:15" ht="43.2" x14ac:dyDescent="0.3">
      <c r="A30" s="332"/>
      <c r="B30" s="332" t="s">
        <v>243</v>
      </c>
      <c r="C30" s="332" t="s">
        <v>244</v>
      </c>
      <c r="D30" s="332" t="s">
        <v>246</v>
      </c>
      <c r="E30" s="332" t="s">
        <v>245</v>
      </c>
      <c r="G30" s="214">
        <f>C31-E31</f>
        <v>394.29000000000087</v>
      </c>
      <c r="H30" s="214">
        <f>B31-D31</f>
        <v>1354.2900000000009</v>
      </c>
      <c r="L30" s="216" t="s">
        <v>136</v>
      </c>
      <c r="M30" s="347">
        <v>45170</v>
      </c>
      <c r="N30" s="343">
        <v>3582.24</v>
      </c>
      <c r="O30" s="348">
        <v>3576.21</v>
      </c>
    </row>
    <row r="31" spans="1:15" x14ac:dyDescent="0.3">
      <c r="A31" s="215">
        <v>45170</v>
      </c>
      <c r="B31" s="214">
        <v>9474.5300000000007</v>
      </c>
      <c r="C31" s="214">
        <f>B31-480</f>
        <v>8994.5300000000007</v>
      </c>
      <c r="D31" s="214">
        <v>8120.24</v>
      </c>
      <c r="E31" s="214">
        <f>D31+480</f>
        <v>8600.24</v>
      </c>
      <c r="G31" s="214">
        <f>C32-E32</f>
        <v>4771.4499999999989</v>
      </c>
      <c r="H31" s="214">
        <f>B32-D32</f>
        <v>5731.4499999999989</v>
      </c>
      <c r="L31" s="218" t="s">
        <v>137</v>
      </c>
      <c r="M31" s="347">
        <v>45170</v>
      </c>
      <c r="N31" s="342">
        <v>1055.97</v>
      </c>
      <c r="O31" s="349">
        <v>1062.32</v>
      </c>
    </row>
    <row r="32" spans="1:15" x14ac:dyDescent="0.3">
      <c r="A32" s="215">
        <v>45536</v>
      </c>
      <c r="B32" s="214">
        <v>12831.38</v>
      </c>
      <c r="C32" s="214">
        <f>B32-480</f>
        <v>12351.38</v>
      </c>
      <c r="D32" s="214">
        <v>7099.93</v>
      </c>
      <c r="E32" s="214">
        <f>D32+480</f>
        <v>7579.93</v>
      </c>
      <c r="L32" s="220" t="s">
        <v>136</v>
      </c>
      <c r="M32" s="345">
        <v>45282</v>
      </c>
      <c r="N32" s="341">
        <v>3580.99</v>
      </c>
      <c r="O32" s="350">
        <v>3574.91</v>
      </c>
    </row>
    <row r="33" spans="1:15" x14ac:dyDescent="0.3">
      <c r="L33" s="220" t="s">
        <v>137</v>
      </c>
      <c r="M33" s="346">
        <v>45282</v>
      </c>
      <c r="N33" s="341">
        <v>1056.8900000000001</v>
      </c>
      <c r="O33" s="350">
        <v>1063.22</v>
      </c>
    </row>
    <row r="34" spans="1:15" x14ac:dyDescent="0.3">
      <c r="A34" s="17" t="s">
        <v>258</v>
      </c>
      <c r="B34">
        <v>2023</v>
      </c>
      <c r="C34">
        <v>2024</v>
      </c>
      <c r="L34" s="216" t="s">
        <v>136</v>
      </c>
      <c r="M34" s="347">
        <v>45536</v>
      </c>
      <c r="N34" s="343">
        <v>3619.23</v>
      </c>
      <c r="O34" s="348">
        <v>3614.46</v>
      </c>
    </row>
    <row r="35" spans="1:15" x14ac:dyDescent="0.3">
      <c r="A35" s="17" t="s">
        <v>136</v>
      </c>
      <c r="B35" s="214">
        <v>3569.84</v>
      </c>
      <c r="C35" s="214">
        <v>3609.39</v>
      </c>
      <c r="L35" s="218" t="s">
        <v>137</v>
      </c>
      <c r="M35" s="346">
        <v>45536</v>
      </c>
      <c r="N35" s="342">
        <v>1041.77</v>
      </c>
      <c r="O35" s="349">
        <v>1048.57</v>
      </c>
    </row>
    <row r="36" spans="1:15" x14ac:dyDescent="0.3">
      <c r="A36" s="17" t="s">
        <v>137</v>
      </c>
      <c r="B36" s="214">
        <v>1063.22</v>
      </c>
      <c r="C36" s="214">
        <v>1054.03</v>
      </c>
      <c r="L36" s="220" t="s">
        <v>136</v>
      </c>
      <c r="M36" s="345">
        <v>45648</v>
      </c>
      <c r="N36" s="341">
        <v>3614.35</v>
      </c>
      <c r="O36" s="350">
        <v>3609.39</v>
      </c>
    </row>
    <row r="37" spans="1:15" x14ac:dyDescent="0.3">
      <c r="L37" s="218" t="s">
        <v>137</v>
      </c>
      <c r="M37" s="346">
        <v>45648</v>
      </c>
      <c r="N37" s="342">
        <v>1047.4100000000001</v>
      </c>
      <c r="O37" s="349">
        <v>1054.03</v>
      </c>
    </row>
    <row r="38" spans="1:15" x14ac:dyDescent="0.3">
      <c r="A38" s="17"/>
    </row>
    <row r="39" spans="1:15" x14ac:dyDescent="0.3">
      <c r="A39" s="17"/>
      <c r="B39" s="214"/>
      <c r="C39" s="214"/>
    </row>
    <row r="40" spans="1:15" x14ac:dyDescent="0.3">
      <c r="A40" s="17"/>
      <c r="B40" s="214"/>
      <c r="C40" s="21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53D3-3652-443E-86C6-2B0A5971A0D6}">
  <sheetPr codeName="Sheet9"/>
  <dimension ref="B2:M38"/>
  <sheetViews>
    <sheetView workbookViewId="0"/>
  </sheetViews>
  <sheetFormatPr defaultRowHeight="14.4" x14ac:dyDescent="0.3"/>
  <cols>
    <col min="2" max="2" width="24.5546875" bestFit="1" customWidth="1"/>
    <col min="3" max="3" width="8.44140625" bestFit="1" customWidth="1"/>
    <col min="4" max="4" width="13.5546875" bestFit="1" customWidth="1"/>
    <col min="5" max="5" width="23" bestFit="1" customWidth="1"/>
    <col min="7" max="7" width="47.44140625" bestFit="1" customWidth="1"/>
    <col min="8" max="8" width="23" bestFit="1" customWidth="1"/>
  </cols>
  <sheetData>
    <row r="2" spans="2:13" x14ac:dyDescent="0.3">
      <c r="B2" t="s">
        <v>148</v>
      </c>
      <c r="D2" s="261"/>
      <c r="E2" t="s">
        <v>149</v>
      </c>
      <c r="G2" s="261"/>
      <c r="H2" t="s">
        <v>156</v>
      </c>
      <c r="J2" s="261"/>
    </row>
    <row r="3" spans="2:13" x14ac:dyDescent="0.3">
      <c r="B3" s="216" t="s">
        <v>157</v>
      </c>
      <c r="C3" s="217">
        <v>-35994</v>
      </c>
      <c r="E3" s="216" t="s">
        <v>138</v>
      </c>
      <c r="F3" s="217">
        <v>-143783</v>
      </c>
      <c r="H3" s="216" t="s">
        <v>138</v>
      </c>
      <c r="I3" s="217">
        <v>-20243</v>
      </c>
    </row>
    <row r="4" spans="2:13" x14ac:dyDescent="0.3">
      <c r="B4" s="218" t="s">
        <v>139</v>
      </c>
      <c r="C4" s="219">
        <v>1579</v>
      </c>
      <c r="E4" s="218" t="s">
        <v>139</v>
      </c>
      <c r="F4" s="219">
        <v>0</v>
      </c>
      <c r="H4" s="218" t="s">
        <v>139</v>
      </c>
      <c r="I4" s="219">
        <v>0</v>
      </c>
    </row>
    <row r="5" spans="2:13" x14ac:dyDescent="0.3">
      <c r="B5" s="222" t="s">
        <v>143</v>
      </c>
      <c r="C5" s="223">
        <f>SUM(C3:C4)</f>
        <v>-34415</v>
      </c>
      <c r="E5" s="222" t="s">
        <v>143</v>
      </c>
      <c r="F5" s="223">
        <f>SUM(F3:F4)</f>
        <v>-143783</v>
      </c>
      <c r="H5" s="222" t="s">
        <v>143</v>
      </c>
      <c r="I5" s="223">
        <f>SUM(I3:I4)</f>
        <v>-20243</v>
      </c>
    </row>
    <row r="6" spans="2:13" x14ac:dyDescent="0.3">
      <c r="B6" s="220"/>
      <c r="C6" s="221"/>
      <c r="E6" s="220"/>
      <c r="F6" s="221"/>
      <c r="H6" s="220"/>
      <c r="I6" s="221"/>
    </row>
    <row r="7" spans="2:13" ht="14.1" customHeight="1" x14ac:dyDescent="0.3">
      <c r="B7" s="220" t="s">
        <v>140</v>
      </c>
      <c r="C7" s="221">
        <v>40000</v>
      </c>
      <c r="D7" s="1">
        <f>C4+C7+C8+C13+3500</f>
        <v>84764</v>
      </c>
      <c r="E7" s="220" t="s">
        <v>140</v>
      </c>
      <c r="F7" s="221">
        <v>0</v>
      </c>
      <c r="H7" s="220" t="s">
        <v>140</v>
      </c>
      <c r="I7" s="221">
        <v>0</v>
      </c>
    </row>
    <row r="8" spans="2:13" x14ac:dyDescent="0.3">
      <c r="B8" s="220" t="s">
        <v>114</v>
      </c>
      <c r="C8" s="221">
        <v>4685</v>
      </c>
      <c r="E8" s="220" t="s">
        <v>114</v>
      </c>
      <c r="F8" s="221">
        <v>4685</v>
      </c>
      <c r="H8" s="220" t="s">
        <v>114</v>
      </c>
      <c r="I8" s="221">
        <v>0</v>
      </c>
    </row>
    <row r="9" spans="2:13" x14ac:dyDescent="0.3">
      <c r="B9" s="220" t="s">
        <v>141</v>
      </c>
      <c r="C9" s="221">
        <v>0</v>
      </c>
      <c r="E9" s="220" t="s">
        <v>141</v>
      </c>
      <c r="F9" s="221">
        <v>0</v>
      </c>
      <c r="H9" s="220" t="s">
        <v>141</v>
      </c>
      <c r="I9" s="221">
        <v>0</v>
      </c>
    </row>
    <row r="10" spans="2:13" x14ac:dyDescent="0.3">
      <c r="B10" s="218" t="s">
        <v>177</v>
      </c>
      <c r="C10" s="219">
        <v>60500</v>
      </c>
      <c r="D10" s="261"/>
      <c r="E10" s="218" t="s">
        <v>142</v>
      </c>
      <c r="F10" s="219">
        <f>60500-69100</f>
        <v>-8600</v>
      </c>
      <c r="G10" s="261" t="s">
        <v>168</v>
      </c>
      <c r="H10" s="218" t="s">
        <v>142</v>
      </c>
      <c r="I10" s="219">
        <f>60500-69100</f>
        <v>-8600</v>
      </c>
    </row>
    <row r="11" spans="2:13" x14ac:dyDescent="0.3">
      <c r="B11" s="222" t="s">
        <v>144</v>
      </c>
      <c r="C11" s="223">
        <f>SUM(C7:C10)</f>
        <v>105185</v>
      </c>
      <c r="E11" s="222" t="s">
        <v>144</v>
      </c>
      <c r="F11" s="223">
        <f>SUM(F7:F10)</f>
        <v>-3915</v>
      </c>
      <c r="G11" s="261" t="s">
        <v>167</v>
      </c>
      <c r="H11" s="222" t="s">
        <v>144</v>
      </c>
      <c r="I11" s="223">
        <f>SUM(I7:I10)</f>
        <v>-8600</v>
      </c>
      <c r="J11" s="261" t="s">
        <v>168</v>
      </c>
    </row>
    <row r="12" spans="2:13" x14ac:dyDescent="0.3">
      <c r="B12" s="220"/>
      <c r="C12" s="221"/>
      <c r="E12" s="220"/>
      <c r="F12" s="221"/>
      <c r="G12" s="261">
        <v>60000</v>
      </c>
      <c r="H12" s="220"/>
      <c r="I12" s="221"/>
      <c r="J12" s="261" t="s">
        <v>167</v>
      </c>
    </row>
    <row r="13" spans="2:13" x14ac:dyDescent="0.3">
      <c r="B13" s="224" t="s">
        <v>145</v>
      </c>
      <c r="C13" s="225">
        <v>35000</v>
      </c>
      <c r="E13" s="224" t="s">
        <v>145</v>
      </c>
      <c r="F13" s="225">
        <v>27000</v>
      </c>
      <c r="G13" s="261">
        <v>9100</v>
      </c>
      <c r="H13" s="224" t="s">
        <v>145</v>
      </c>
      <c r="I13" s="225">
        <v>18000</v>
      </c>
      <c r="J13" s="261">
        <v>60000</v>
      </c>
    </row>
    <row r="14" spans="2:13" x14ac:dyDescent="0.3">
      <c r="B14" s="220" t="s">
        <v>146</v>
      </c>
      <c r="C14" s="221">
        <v>31294</v>
      </c>
      <c r="E14" s="220" t="s">
        <v>146</v>
      </c>
      <c r="F14" s="221">
        <v>27000</v>
      </c>
      <c r="H14" s="220" t="s">
        <v>146</v>
      </c>
      <c r="I14" s="221">
        <v>27000</v>
      </c>
      <c r="J14" s="261">
        <v>9100</v>
      </c>
    </row>
    <row r="15" spans="2:13" x14ac:dyDescent="0.3">
      <c r="B15" s="220"/>
      <c r="C15" s="221"/>
      <c r="E15" s="220"/>
      <c r="F15" s="221"/>
      <c r="H15" s="220"/>
      <c r="I15" s="221"/>
    </row>
    <row r="16" spans="2:13" ht="28.8" x14ac:dyDescent="0.3">
      <c r="B16" s="226" t="s">
        <v>178</v>
      </c>
      <c r="C16" s="227">
        <f>C13+C11+C5</f>
        <v>105770</v>
      </c>
      <c r="E16" s="226" t="s">
        <v>147</v>
      </c>
      <c r="F16" s="227">
        <f>F13+F11+F5</f>
        <v>-120698</v>
      </c>
      <c r="H16" s="226" t="s">
        <v>147</v>
      </c>
      <c r="I16" s="227">
        <f>I13+I11+I5</f>
        <v>-10843</v>
      </c>
      <c r="M16" t="s">
        <v>102</v>
      </c>
    </row>
    <row r="17" spans="2:5" x14ac:dyDescent="0.3">
      <c r="C17" t="s">
        <v>102</v>
      </c>
    </row>
    <row r="21" spans="2:5" x14ac:dyDescent="0.3">
      <c r="B21" t="s">
        <v>166</v>
      </c>
    </row>
    <row r="22" spans="2:5" x14ac:dyDescent="0.3">
      <c r="B22" t="s">
        <v>170</v>
      </c>
      <c r="D22" s="261"/>
    </row>
    <row r="23" spans="2:5" x14ac:dyDescent="0.3">
      <c r="B23" s="253" t="s">
        <v>164</v>
      </c>
      <c r="C23" s="217"/>
      <c r="D23" s="261"/>
    </row>
    <row r="24" spans="2:5" x14ac:dyDescent="0.3">
      <c r="B24" s="220" t="s">
        <v>140</v>
      </c>
      <c r="C24" s="221">
        <v>83000</v>
      </c>
      <c r="D24" s="261"/>
    </row>
    <row r="25" spans="2:5" x14ac:dyDescent="0.3">
      <c r="B25" s="220" t="s">
        <v>114</v>
      </c>
      <c r="C25" s="221">
        <v>3736</v>
      </c>
      <c r="D25" s="261"/>
    </row>
    <row r="26" spans="2:5" x14ac:dyDescent="0.3">
      <c r="B26" s="220" t="s">
        <v>141</v>
      </c>
      <c r="C26" s="221">
        <v>0</v>
      </c>
      <c r="D26" s="261" t="s">
        <v>169</v>
      </c>
    </row>
    <row r="27" spans="2:5" x14ac:dyDescent="0.3">
      <c r="B27" s="218" t="s">
        <v>142</v>
      </c>
      <c r="C27" s="219">
        <v>47810</v>
      </c>
      <c r="D27" s="261">
        <v>16693</v>
      </c>
      <c r="E27" s="1">
        <f>C27-D27</f>
        <v>31117</v>
      </c>
    </row>
    <row r="28" spans="2:5" x14ac:dyDescent="0.3">
      <c r="B28" s="224" t="s">
        <v>160</v>
      </c>
      <c r="C28" s="225">
        <f>SUM(C24:C27)</f>
        <v>134546</v>
      </c>
      <c r="D28" s="261"/>
      <c r="E28" s="260">
        <f>E27*0.9</f>
        <v>28005.3</v>
      </c>
    </row>
    <row r="29" spans="2:5" x14ac:dyDescent="0.3">
      <c r="B29" s="256" t="s">
        <v>161</v>
      </c>
      <c r="C29" s="257">
        <v>451102</v>
      </c>
      <c r="D29" s="261"/>
    </row>
    <row r="30" spans="2:5" x14ac:dyDescent="0.3">
      <c r="B30" s="220"/>
      <c r="C30" s="221"/>
      <c r="D30" s="261"/>
      <c r="E30">
        <v>235757</v>
      </c>
    </row>
    <row r="31" spans="2:5" x14ac:dyDescent="0.3">
      <c r="B31" s="250" t="s">
        <v>162</v>
      </c>
      <c r="C31" s="252">
        <v>9091</v>
      </c>
      <c r="D31" s="261"/>
      <c r="E31">
        <f>D27*0.9</f>
        <v>15023.7</v>
      </c>
    </row>
    <row r="32" spans="2:5" x14ac:dyDescent="0.3">
      <c r="B32" s="258" t="s">
        <v>163</v>
      </c>
      <c r="C32" s="259">
        <v>32841</v>
      </c>
      <c r="D32" s="261"/>
      <c r="E32">
        <f>D38</f>
        <v>0</v>
      </c>
    </row>
    <row r="33" spans="2:5" x14ac:dyDescent="0.3">
      <c r="B33" s="220"/>
      <c r="C33" s="249"/>
      <c r="D33" s="261"/>
    </row>
    <row r="34" spans="2:5" x14ac:dyDescent="0.3">
      <c r="B34" s="250" t="s">
        <v>158</v>
      </c>
      <c r="C34" s="251">
        <v>0</v>
      </c>
      <c r="D34" s="261"/>
      <c r="E34">
        <f>SUM(E30:E32)</f>
        <v>250780.7</v>
      </c>
    </row>
    <row r="35" spans="2:5" x14ac:dyDescent="0.3">
      <c r="B35" s="258" t="s">
        <v>165</v>
      </c>
      <c r="C35" s="259">
        <v>0</v>
      </c>
      <c r="D35" s="261"/>
    </row>
    <row r="36" spans="2:5" x14ac:dyDescent="0.3">
      <c r="B36" s="220"/>
      <c r="C36" s="249"/>
      <c r="D36" s="261"/>
    </row>
    <row r="37" spans="2:5" x14ac:dyDescent="0.3">
      <c r="B37" s="254" t="s">
        <v>159</v>
      </c>
      <c r="C37" s="255">
        <f>C29+C32</f>
        <v>483943</v>
      </c>
      <c r="D37" s="261"/>
    </row>
    <row r="38" spans="2:5" x14ac:dyDescent="0.3">
      <c r="D38" s="261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F5D5-A71F-4909-B8E8-787A932B2CC8}">
  <sheetPr codeName="Sheet10"/>
  <dimension ref="A1:AS63"/>
  <sheetViews>
    <sheetView zoomScale="80" zoomScaleNormal="80" workbookViewId="0">
      <selection activeCell="B24" sqref="B24"/>
    </sheetView>
  </sheetViews>
  <sheetFormatPr defaultColWidth="8.5546875" defaultRowHeight="15" customHeight="1" x14ac:dyDescent="0.2"/>
  <cols>
    <col min="1" max="1" width="61.44140625" style="95" bestFit="1" customWidth="1"/>
    <col min="2" max="2" width="11.5546875" style="95" bestFit="1" customWidth="1"/>
    <col min="3" max="3" width="4.44140625" style="95" customWidth="1"/>
    <col min="4" max="4" width="47.44140625" style="95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48.44140625" style="95" bestFit="1" customWidth="1"/>
    <col min="12" max="12" width="11.5546875" style="95" bestFit="1" customWidth="1"/>
    <col min="13" max="13" width="4.5546875" style="95" customWidth="1"/>
    <col min="14" max="14" width="47.4414062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155</v>
      </c>
      <c r="B1" s="156"/>
      <c r="C1" s="156"/>
      <c r="D1" s="330"/>
      <c r="E1" s="125"/>
      <c r="F1" s="145" t="s">
        <v>155</v>
      </c>
      <c r="G1" s="152"/>
      <c r="H1" s="152"/>
      <c r="I1" s="153"/>
      <c r="K1" s="147" t="s">
        <v>155</v>
      </c>
      <c r="L1" s="154"/>
      <c r="M1" s="154"/>
      <c r="N1" s="235"/>
    </row>
    <row r="2" spans="1:45" ht="15" customHeight="1" x14ac:dyDescent="0.2">
      <c r="A2" s="158" t="s">
        <v>50</v>
      </c>
      <c r="B2" s="159"/>
      <c r="C2" s="159"/>
      <c r="D2" s="160"/>
      <c r="F2" s="146" t="s">
        <v>107</v>
      </c>
      <c r="G2" s="98"/>
      <c r="H2" s="98"/>
      <c r="I2" s="99"/>
      <c r="K2" s="148" t="s">
        <v>108</v>
      </c>
      <c r="L2" s="129"/>
      <c r="M2" s="129"/>
      <c r="N2" s="236"/>
    </row>
    <row r="3" spans="1:45" ht="15" customHeight="1" x14ac:dyDescent="0.2">
      <c r="A3" s="161" t="s">
        <v>256</v>
      </c>
      <c r="B3" s="162"/>
      <c r="C3" s="162"/>
      <c r="D3" s="163"/>
      <c r="E3" s="125"/>
      <c r="F3" s="100" t="s">
        <v>173</v>
      </c>
      <c r="G3" s="98"/>
      <c r="H3" s="106"/>
      <c r="I3" s="99"/>
      <c r="K3" s="131" t="s">
        <v>257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>
        <f>842855-805000</f>
        <v>37855</v>
      </c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32.25" customHeight="1" x14ac:dyDescent="0.2">
      <c r="A7" s="164" t="s">
        <v>34</v>
      </c>
      <c r="B7" s="169">
        <f>B31+B43</f>
        <v>0</v>
      </c>
      <c r="C7" s="162"/>
      <c r="D7" s="170"/>
      <c r="F7" s="101" t="s">
        <v>34</v>
      </c>
      <c r="G7" s="106">
        <f>G31+G43</f>
        <v>0</v>
      </c>
      <c r="H7" s="98"/>
      <c r="I7" s="333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-450000</f>
        <v>-450000</v>
      </c>
      <c r="C8" s="162"/>
      <c r="D8" s="170" t="s">
        <v>402</v>
      </c>
      <c r="F8" s="101" t="s">
        <v>36</v>
      </c>
      <c r="G8" s="106">
        <f>-450000</f>
        <v>-450000</v>
      </c>
      <c r="H8" s="98"/>
      <c r="I8" s="107" t="s">
        <v>403</v>
      </c>
      <c r="J8" s="95">
        <f>1108162-1087000</f>
        <v>21162</v>
      </c>
      <c r="K8" s="138" t="s">
        <v>36</v>
      </c>
      <c r="L8" s="109">
        <v>-450000</v>
      </c>
      <c r="M8" s="129"/>
      <c r="N8" s="236" t="s">
        <v>378</v>
      </c>
      <c r="O8" s="95">
        <f>988000-968891</f>
        <v>19109</v>
      </c>
    </row>
    <row r="9" spans="1:45" ht="15" customHeight="1" x14ac:dyDescent="0.2">
      <c r="A9" s="164" t="s">
        <v>37</v>
      </c>
      <c r="B9" s="169">
        <v>0</v>
      </c>
      <c r="C9" s="162"/>
      <c r="D9" s="171" t="s">
        <v>61</v>
      </c>
      <c r="E9" s="117"/>
      <c r="F9" s="101" t="s">
        <v>37</v>
      </c>
      <c r="G9" s="106">
        <v>0</v>
      </c>
      <c r="H9" s="98"/>
      <c r="I9" s="112" t="s">
        <v>61</v>
      </c>
      <c r="K9" s="138" t="s">
        <v>37</v>
      </c>
      <c r="L9" s="109">
        <v>0</v>
      </c>
      <c r="M9" s="129"/>
      <c r="N9" s="236" t="s">
        <v>61</v>
      </c>
    </row>
    <row r="10" spans="1:45" ht="15" customHeight="1" x14ac:dyDescent="0.2">
      <c r="A10" s="164" t="s">
        <v>375</v>
      </c>
      <c r="B10" s="169">
        <v>-80859</v>
      </c>
      <c r="C10" s="162"/>
      <c r="D10" s="171" t="s">
        <v>376</v>
      </c>
      <c r="E10" s="117"/>
      <c r="F10" s="101" t="s">
        <v>375</v>
      </c>
      <c r="G10" s="106">
        <f>-80859</f>
        <v>-80859</v>
      </c>
      <c r="H10" s="98"/>
      <c r="I10" s="112"/>
      <c r="K10" s="138" t="s">
        <v>375</v>
      </c>
      <c r="L10" s="109">
        <f>-119629-1825</f>
        <v>-121454</v>
      </c>
      <c r="M10" s="129"/>
      <c r="N10" s="236"/>
    </row>
    <row r="11" spans="1:45" ht="15" customHeight="1" x14ac:dyDescent="0.2">
      <c r="A11" s="164" t="s">
        <v>175</v>
      </c>
      <c r="B11" s="169">
        <f>-'System Conservation'!AI2</f>
        <v>-225618</v>
      </c>
      <c r="C11" s="162"/>
      <c r="D11" s="163" t="s">
        <v>351</v>
      </c>
      <c r="E11" s="117"/>
      <c r="F11" s="101" t="s">
        <v>175</v>
      </c>
      <c r="G11" s="106">
        <f>B11</f>
        <v>-225618</v>
      </c>
      <c r="H11" s="98"/>
      <c r="I11" s="99" t="s">
        <v>176</v>
      </c>
      <c r="K11" s="138" t="s">
        <v>175</v>
      </c>
      <c r="L11" s="109">
        <v>-93400</v>
      </c>
      <c r="M11" s="129"/>
      <c r="N11" s="239" t="s">
        <v>379</v>
      </c>
    </row>
    <row r="12" spans="1:45" ht="15" customHeight="1" x14ac:dyDescent="0.2">
      <c r="A12" s="164" t="s">
        <v>105</v>
      </c>
      <c r="B12" s="177">
        <v>-145</v>
      </c>
      <c r="C12" s="162"/>
      <c r="D12" s="163"/>
      <c r="F12" s="101" t="s">
        <v>105</v>
      </c>
      <c r="G12" s="110">
        <v>-145</v>
      </c>
      <c r="H12" s="98"/>
      <c r="I12" s="99"/>
      <c r="K12" s="138" t="s">
        <v>105</v>
      </c>
      <c r="L12" s="111">
        <v>-145</v>
      </c>
      <c r="M12" s="129"/>
      <c r="N12" s="236"/>
      <c r="AO12" s="117"/>
      <c r="AP12" s="117"/>
      <c r="AQ12" s="117"/>
      <c r="AS12" s="117"/>
    </row>
    <row r="13" spans="1:45" ht="15" customHeight="1" x14ac:dyDescent="0.2">
      <c r="A13" s="164" t="s">
        <v>41</v>
      </c>
      <c r="B13" s="169">
        <f>SUM(B6:B12)</f>
        <v>3643378</v>
      </c>
      <c r="C13" s="162"/>
      <c r="D13" s="171"/>
      <c r="F13" s="101" t="s">
        <v>41</v>
      </c>
      <c r="G13" s="106">
        <f>SUM(G6:G12)</f>
        <v>3643378</v>
      </c>
      <c r="H13" s="98"/>
      <c r="I13" s="99"/>
      <c r="K13" s="138" t="s">
        <v>41</v>
      </c>
      <c r="L13" s="109">
        <f>SUM(L6:L12)</f>
        <v>3735001</v>
      </c>
      <c r="M13" s="129"/>
      <c r="N13" s="139"/>
      <c r="S13" s="95">
        <f>2246838-2326838</f>
        <v>-80000</v>
      </c>
    </row>
    <row r="14" spans="1:45" ht="15" customHeight="1" x14ac:dyDescent="0.2">
      <c r="A14" s="172" t="s">
        <v>40</v>
      </c>
      <c r="B14" s="173">
        <f>B13+B15</f>
        <v>3643378</v>
      </c>
      <c r="C14" s="169"/>
      <c r="D14" s="175">
        <f>842768-804000</f>
        <v>38768</v>
      </c>
      <c r="F14" s="113" t="s">
        <v>40</v>
      </c>
      <c r="G14" s="114">
        <f>G13+G15</f>
        <v>3643378</v>
      </c>
      <c r="H14" s="106"/>
      <c r="I14" s="99">
        <f>744118-690000</f>
        <v>54118</v>
      </c>
      <c r="K14" s="141" t="s">
        <v>40</v>
      </c>
      <c r="L14" s="116">
        <f>L13+L15</f>
        <v>3735001</v>
      </c>
      <c r="M14" s="129"/>
      <c r="N14" s="240"/>
      <c r="AO14" s="117"/>
      <c r="AP14" s="117"/>
      <c r="AQ14" s="117"/>
      <c r="AS14" s="117"/>
    </row>
    <row r="15" spans="1:45" ht="15" customHeight="1" x14ac:dyDescent="0.2">
      <c r="A15" s="164" t="s">
        <v>17</v>
      </c>
      <c r="B15" s="169">
        <v>0</v>
      </c>
      <c r="C15" s="162"/>
      <c r="D15" s="175"/>
      <c r="F15" s="101" t="s">
        <v>17</v>
      </c>
      <c r="G15" s="106">
        <v>0</v>
      </c>
      <c r="H15" s="98"/>
      <c r="I15" s="115"/>
      <c r="K15" s="138" t="s">
        <v>17</v>
      </c>
      <c r="L15" s="109">
        <v>0</v>
      </c>
      <c r="M15" s="109"/>
      <c r="N15" s="240"/>
    </row>
    <row r="16" spans="1:45" ht="15" customHeight="1" x14ac:dyDescent="0.2">
      <c r="A16" s="164" t="s">
        <v>18</v>
      </c>
      <c r="B16" s="169">
        <v>0</v>
      </c>
      <c r="C16" s="162"/>
      <c r="D16" s="175"/>
      <c r="F16" s="101" t="s">
        <v>18</v>
      </c>
      <c r="G16" s="106">
        <v>0</v>
      </c>
      <c r="H16" s="98"/>
      <c r="I16" s="115"/>
      <c r="K16" s="138" t="s">
        <v>18</v>
      </c>
      <c r="L16" s="109">
        <v>0</v>
      </c>
      <c r="M16" s="129"/>
      <c r="N16" s="240"/>
      <c r="AO16" s="117"/>
      <c r="AP16" s="117"/>
      <c r="AQ16" s="117"/>
    </row>
    <row r="17" spans="1:43" ht="15" customHeight="1" x14ac:dyDescent="0.2">
      <c r="A17" s="164"/>
      <c r="B17" s="169"/>
      <c r="C17" s="162"/>
      <c r="D17" s="176"/>
      <c r="F17" s="101"/>
      <c r="G17" s="106"/>
      <c r="H17" s="98"/>
      <c r="I17" s="118"/>
      <c r="K17" s="138"/>
      <c r="L17" s="109"/>
      <c r="M17" s="129"/>
      <c r="N17" s="241"/>
    </row>
    <row r="18" spans="1:43" ht="15" customHeight="1" x14ac:dyDescent="0.2">
      <c r="A18" s="166" t="s">
        <v>1</v>
      </c>
      <c r="B18" s="167" t="s">
        <v>5</v>
      </c>
      <c r="C18" s="162"/>
      <c r="D18" s="168" t="s">
        <v>6</v>
      </c>
      <c r="F18" s="103" t="s">
        <v>1</v>
      </c>
      <c r="G18" s="104" t="s">
        <v>5</v>
      </c>
      <c r="H18" s="98"/>
      <c r="I18" s="105" t="s">
        <v>6</v>
      </c>
      <c r="K18" s="135" t="s">
        <v>1</v>
      </c>
      <c r="L18" s="136" t="s">
        <v>5</v>
      </c>
      <c r="M18" s="129"/>
      <c r="N18" s="238" t="s">
        <v>6</v>
      </c>
      <c r="AO18" s="117"/>
      <c r="AP18" s="117"/>
      <c r="AQ18" s="117"/>
    </row>
    <row r="19" spans="1:43" ht="15" customHeight="1" x14ac:dyDescent="0.2">
      <c r="A19" s="164" t="s">
        <v>3</v>
      </c>
      <c r="B19" s="169">
        <v>2800000</v>
      </c>
      <c r="C19" s="162"/>
      <c r="D19" s="163"/>
      <c r="F19" s="101" t="s">
        <v>3</v>
      </c>
      <c r="G19" s="106">
        <v>2800000</v>
      </c>
      <c r="H19" s="98"/>
      <c r="I19" s="99"/>
      <c r="K19" s="138" t="s">
        <v>3</v>
      </c>
      <c r="L19" s="109">
        <v>2800000</v>
      </c>
      <c r="M19" s="129"/>
      <c r="N19" s="236"/>
      <c r="AO19" s="117"/>
      <c r="AP19" s="117"/>
      <c r="AQ19" s="117"/>
    </row>
    <row r="20" spans="1:43" ht="15" customHeight="1" x14ac:dyDescent="0.2">
      <c r="A20" s="164" t="s">
        <v>132</v>
      </c>
      <c r="B20" s="169">
        <v>0</v>
      </c>
      <c r="C20" s="162"/>
      <c r="D20" s="163"/>
      <c r="F20" s="101" t="s">
        <v>132</v>
      </c>
      <c r="G20" s="106">
        <v>0</v>
      </c>
      <c r="H20" s="98"/>
      <c r="I20" s="99"/>
      <c r="K20" s="138" t="s">
        <v>132</v>
      </c>
      <c r="L20" s="109">
        <v>0</v>
      </c>
      <c r="M20" s="129"/>
      <c r="N20" s="236"/>
    </row>
    <row r="21" spans="1:43" ht="15" customHeight="1" x14ac:dyDescent="0.2">
      <c r="A21" s="164" t="s">
        <v>35</v>
      </c>
      <c r="B21" s="169">
        <v>0</v>
      </c>
      <c r="C21" s="162"/>
      <c r="D21" s="163" t="s">
        <v>401</v>
      </c>
      <c r="F21" s="101" t="s">
        <v>35</v>
      </c>
      <c r="G21" s="106">
        <v>0</v>
      </c>
      <c r="H21" s="98"/>
      <c r="I21" s="99" t="s">
        <v>399</v>
      </c>
      <c r="K21" s="138" t="s">
        <v>35</v>
      </c>
      <c r="L21" s="109">
        <v>0</v>
      </c>
      <c r="M21" s="129"/>
      <c r="N21" s="236" t="s">
        <v>377</v>
      </c>
    </row>
    <row r="22" spans="1:43" ht="15" customHeight="1" x14ac:dyDescent="0.2">
      <c r="A22" s="164" t="s">
        <v>111</v>
      </c>
      <c r="B22" s="169">
        <v>0</v>
      </c>
      <c r="C22" s="162"/>
      <c r="D22" s="163"/>
      <c r="F22" s="101" t="s">
        <v>111</v>
      </c>
      <c r="G22" s="106">
        <v>0</v>
      </c>
      <c r="H22" s="98"/>
      <c r="I22" s="99"/>
      <c r="K22" s="138" t="s">
        <v>111</v>
      </c>
      <c r="L22" s="266">
        <v>0</v>
      </c>
      <c r="M22" s="129"/>
      <c r="N22" s="265"/>
    </row>
    <row r="23" spans="1:43" ht="15" customHeight="1" x14ac:dyDescent="0.2">
      <c r="A23" s="164" t="s">
        <v>21</v>
      </c>
      <c r="B23" s="169">
        <v>0</v>
      </c>
      <c r="C23" s="162"/>
      <c r="D23" s="163"/>
      <c r="F23" s="101" t="s">
        <v>21</v>
      </c>
      <c r="G23" s="106">
        <v>0</v>
      </c>
      <c r="H23" s="98"/>
      <c r="I23" s="99"/>
      <c r="K23" s="138" t="s">
        <v>21</v>
      </c>
      <c r="L23" s="109">
        <v>0</v>
      </c>
      <c r="M23" s="129"/>
      <c r="N23" s="236"/>
    </row>
    <row r="24" spans="1:43" ht="15" customHeight="1" x14ac:dyDescent="0.2">
      <c r="A24" s="164" t="s">
        <v>103</v>
      </c>
      <c r="B24" s="169">
        <v>-500</v>
      </c>
      <c r="C24" s="162"/>
      <c r="D24" s="163"/>
      <c r="F24" s="101" t="s">
        <v>103</v>
      </c>
      <c r="G24" s="106">
        <v>-500</v>
      </c>
      <c r="H24" s="98"/>
      <c r="I24" s="99"/>
      <c r="K24" s="138" t="s">
        <v>103</v>
      </c>
      <c r="L24" s="109">
        <v>-500</v>
      </c>
      <c r="M24" s="129"/>
      <c r="N24" s="236"/>
    </row>
    <row r="25" spans="1:43" ht="15" customHeight="1" x14ac:dyDescent="0.2">
      <c r="A25" s="164" t="s">
        <v>113</v>
      </c>
      <c r="B25" s="169">
        <f>-SUM('System Conservation'!S2,'System Conservation'!AA2)</f>
        <v>-319489</v>
      </c>
      <c r="C25" s="162"/>
      <c r="D25" s="163" t="s">
        <v>343</v>
      </c>
      <c r="F25" s="101" t="s">
        <v>113</v>
      </c>
      <c r="G25" s="106">
        <f>B25</f>
        <v>-319489</v>
      </c>
      <c r="H25" s="98"/>
      <c r="I25" s="99" t="s">
        <v>343</v>
      </c>
      <c r="K25" s="138" t="s">
        <v>113</v>
      </c>
      <c r="L25" s="109">
        <f>B25</f>
        <v>-319489</v>
      </c>
      <c r="M25" s="129"/>
      <c r="N25" s="130" t="str">
        <f>D25</f>
        <v>See System Conservation tab</v>
      </c>
    </row>
    <row r="26" spans="1:43" s="356" customFormat="1" ht="15" customHeight="1" x14ac:dyDescent="0.25">
      <c r="A26" s="352" t="s">
        <v>261</v>
      </c>
      <c r="B26" s="353">
        <f>SUM(B19:B25)</f>
        <v>2480011</v>
      </c>
      <c r="C26" s="354"/>
      <c r="D26" s="355"/>
      <c r="F26" s="357" t="s">
        <v>261</v>
      </c>
      <c r="G26" s="358">
        <f>SUM(G19:G25)</f>
        <v>2480011</v>
      </c>
      <c r="H26" s="359"/>
      <c r="I26" s="360"/>
      <c r="K26" s="361" t="s">
        <v>261</v>
      </c>
      <c r="L26" s="362">
        <f>SUM(L19:L25)</f>
        <v>2480011</v>
      </c>
      <c r="M26" s="363"/>
      <c r="N26" s="364"/>
    </row>
    <row r="27" spans="1:43" ht="30.75" customHeight="1" x14ac:dyDescent="0.2">
      <c r="A27" s="164" t="s">
        <v>110</v>
      </c>
      <c r="B27" s="169">
        <v>-192000</v>
      </c>
      <c r="C27" s="162"/>
      <c r="D27" s="163" t="s">
        <v>374</v>
      </c>
      <c r="F27" s="101" t="s">
        <v>110</v>
      </c>
      <c r="G27" s="106">
        <v>-192000</v>
      </c>
      <c r="H27" s="98"/>
      <c r="I27" s="99" t="s">
        <v>374</v>
      </c>
      <c r="K27" s="138" t="s">
        <v>110</v>
      </c>
      <c r="L27" s="109">
        <v>-192000</v>
      </c>
      <c r="M27" s="129"/>
      <c r="N27" s="236" t="s">
        <v>368</v>
      </c>
    </row>
    <row r="28" spans="1:43" ht="33" customHeight="1" x14ac:dyDescent="0.2">
      <c r="A28" s="164" t="s">
        <v>129</v>
      </c>
      <c r="B28" s="169">
        <f>40000-5625-2303-3912</f>
        <v>28160</v>
      </c>
      <c r="C28" s="162"/>
      <c r="D28" s="232" t="s">
        <v>400</v>
      </c>
      <c r="F28" s="101" t="s">
        <v>129</v>
      </c>
      <c r="G28" s="106">
        <f>32072-3912</f>
        <v>28160</v>
      </c>
      <c r="H28" s="98"/>
      <c r="I28" s="99" t="s">
        <v>407</v>
      </c>
      <c r="K28" s="138" t="s">
        <v>129</v>
      </c>
      <c r="L28" s="109">
        <v>40000</v>
      </c>
      <c r="M28" s="129"/>
      <c r="N28" s="236" t="s">
        <v>367</v>
      </c>
    </row>
    <row r="29" spans="1:43" ht="15" customHeight="1" x14ac:dyDescent="0.2">
      <c r="A29" s="164" t="s">
        <v>133</v>
      </c>
      <c r="B29" s="169">
        <v>-400000</v>
      </c>
      <c r="C29" s="162"/>
      <c r="D29" s="163" t="s">
        <v>150</v>
      </c>
      <c r="F29" s="101" t="s">
        <v>133</v>
      </c>
      <c r="G29" s="106">
        <v>-400000</v>
      </c>
      <c r="H29" s="98"/>
      <c r="I29" s="99" t="s">
        <v>150</v>
      </c>
      <c r="K29" s="138" t="s">
        <v>133</v>
      </c>
      <c r="L29" s="109">
        <v>-400000</v>
      </c>
      <c r="M29" s="129"/>
      <c r="N29" s="236" t="s">
        <v>150</v>
      </c>
    </row>
    <row r="30" spans="1:43" s="197" customFormat="1" ht="15" customHeight="1" x14ac:dyDescent="0.25">
      <c r="A30" s="172" t="s">
        <v>131</v>
      </c>
      <c r="B30" s="228">
        <f>SUM(B26:B29)</f>
        <v>1916171</v>
      </c>
      <c r="C30" s="196"/>
      <c r="D30" s="200"/>
      <c r="F30" s="113" t="s">
        <v>131</v>
      </c>
      <c r="G30" s="231">
        <f>SUM(G26:G29)</f>
        <v>1916171</v>
      </c>
      <c r="H30" s="198"/>
      <c r="I30" s="230"/>
      <c r="K30" s="141" t="s">
        <v>131</v>
      </c>
      <c r="L30" s="229">
        <f>SUM(L26:L29)</f>
        <v>1928011</v>
      </c>
      <c r="M30" s="199"/>
      <c r="N30" s="243"/>
    </row>
    <row r="31" spans="1:43" ht="15" customHeight="1" x14ac:dyDescent="0.2">
      <c r="A31" s="164" t="s">
        <v>17</v>
      </c>
      <c r="B31" s="169">
        <v>0</v>
      </c>
      <c r="C31" s="162"/>
      <c r="D31" s="163"/>
      <c r="F31" s="101" t="s">
        <v>17</v>
      </c>
      <c r="G31" s="106">
        <v>0</v>
      </c>
      <c r="H31" s="98"/>
      <c r="I31" s="99"/>
      <c r="K31" s="138" t="s">
        <v>17</v>
      </c>
      <c r="L31" s="109">
        <v>0</v>
      </c>
      <c r="M31" s="129"/>
      <c r="N31" s="236"/>
    </row>
    <row r="32" spans="1:43" ht="15" customHeight="1" x14ac:dyDescent="0.2">
      <c r="A32" s="164" t="s">
        <v>372</v>
      </c>
      <c r="B32" s="169">
        <v>16640</v>
      </c>
      <c r="C32" s="162"/>
      <c r="D32" s="163" t="s">
        <v>373</v>
      </c>
      <c r="F32" s="101" t="s">
        <v>372</v>
      </c>
      <c r="G32" s="106">
        <v>16640</v>
      </c>
      <c r="H32" s="98"/>
      <c r="I32" s="99" t="s">
        <v>373</v>
      </c>
      <c r="K32" s="138" t="s">
        <v>372</v>
      </c>
      <c r="L32" s="109">
        <v>4800</v>
      </c>
      <c r="M32" s="129"/>
      <c r="N32" s="236" t="s">
        <v>373</v>
      </c>
    </row>
    <row r="33" spans="1:14" ht="15" customHeight="1" x14ac:dyDescent="0.2">
      <c r="A33" s="164"/>
      <c r="B33" s="169"/>
      <c r="C33" s="162"/>
      <c r="D33" s="168"/>
      <c r="F33" s="101"/>
      <c r="G33" s="106"/>
      <c r="H33" s="98"/>
      <c r="I33" s="105"/>
      <c r="K33" s="138"/>
      <c r="L33" s="109"/>
      <c r="M33" s="129"/>
      <c r="N33" s="238"/>
    </row>
    <row r="34" spans="1:14" ht="15" customHeight="1" x14ac:dyDescent="0.2">
      <c r="A34" s="166" t="s">
        <v>2</v>
      </c>
      <c r="B34" s="169"/>
      <c r="C34" s="162"/>
      <c r="D34" s="168" t="s">
        <v>6</v>
      </c>
      <c r="F34" s="103" t="s">
        <v>2</v>
      </c>
      <c r="G34" s="106"/>
      <c r="H34" s="98"/>
      <c r="I34" s="105" t="s">
        <v>6</v>
      </c>
      <c r="K34" s="135" t="s">
        <v>2</v>
      </c>
      <c r="L34" s="109"/>
      <c r="M34" s="129"/>
      <c r="N34" s="238" t="s">
        <v>6</v>
      </c>
    </row>
    <row r="35" spans="1:14" ht="15" customHeight="1" x14ac:dyDescent="0.2">
      <c r="A35" s="164" t="s">
        <v>3</v>
      </c>
      <c r="B35" s="169">
        <v>300000</v>
      </c>
      <c r="C35" s="162"/>
      <c r="D35" s="163"/>
      <c r="F35" s="101" t="s">
        <v>3</v>
      </c>
      <c r="G35" s="106">
        <v>300000</v>
      </c>
      <c r="H35" s="98"/>
      <c r="I35" s="99"/>
      <c r="K35" s="138" t="s">
        <v>3</v>
      </c>
      <c r="L35" s="109">
        <v>300000</v>
      </c>
      <c r="M35" s="129"/>
      <c r="N35" s="236"/>
    </row>
    <row r="36" spans="1:14" ht="15" customHeight="1" x14ac:dyDescent="0.2">
      <c r="A36" s="164" t="s">
        <v>264</v>
      </c>
      <c r="B36" s="169">
        <v>-17000</v>
      </c>
      <c r="C36" s="162"/>
      <c r="D36" s="163"/>
      <c r="F36" s="101" t="s">
        <v>264</v>
      </c>
      <c r="G36" s="106">
        <v>-17000</v>
      </c>
      <c r="H36" s="98"/>
      <c r="I36" s="99"/>
      <c r="K36" s="138" t="s">
        <v>264</v>
      </c>
      <c r="L36" s="109">
        <v>-17000</v>
      </c>
      <c r="M36" s="129"/>
      <c r="N36" s="236"/>
    </row>
    <row r="37" spans="1:14" ht="25.5" customHeight="1" x14ac:dyDescent="0.2">
      <c r="A37" s="164" t="s">
        <v>115</v>
      </c>
      <c r="B37" s="169">
        <v>-92000</v>
      </c>
      <c r="C37" s="162"/>
      <c r="D37" s="178" t="s">
        <v>395</v>
      </c>
      <c r="F37" s="101" t="s">
        <v>358</v>
      </c>
      <c r="G37" s="106">
        <v>-92000</v>
      </c>
      <c r="H37" s="98"/>
      <c r="I37" s="119" t="s">
        <v>395</v>
      </c>
      <c r="K37" s="138" t="s">
        <v>358</v>
      </c>
      <c r="L37" s="109">
        <v>-92000</v>
      </c>
      <c r="M37" s="129"/>
      <c r="N37" s="139" t="s">
        <v>364</v>
      </c>
    </row>
    <row r="38" spans="1:14" ht="21.75" customHeight="1" x14ac:dyDescent="0.2">
      <c r="A38" s="164" t="s">
        <v>53</v>
      </c>
      <c r="B38" s="177">
        <v>0</v>
      </c>
      <c r="C38" s="162"/>
      <c r="D38" s="171"/>
      <c r="F38" s="101" t="s">
        <v>53</v>
      </c>
      <c r="G38" s="110">
        <v>0</v>
      </c>
      <c r="H38" s="98"/>
      <c r="I38" s="112"/>
      <c r="K38" s="138" t="s">
        <v>53</v>
      </c>
      <c r="L38" s="111">
        <v>0</v>
      </c>
      <c r="M38" s="129"/>
      <c r="N38" s="139"/>
    </row>
    <row r="39" spans="1:14" ht="15" customHeight="1" x14ac:dyDescent="0.2">
      <c r="A39" s="372" t="s">
        <v>45</v>
      </c>
      <c r="B39" s="392">
        <f>SUM(B35:B38)</f>
        <v>191000</v>
      </c>
      <c r="C39" s="162"/>
      <c r="D39" s="171" t="s">
        <v>384</v>
      </c>
      <c r="F39" s="393" t="s">
        <v>45</v>
      </c>
      <c r="G39" s="394">
        <f>G35+G37+G38+G36</f>
        <v>191000</v>
      </c>
      <c r="H39" s="98"/>
      <c r="I39" s="112" t="s">
        <v>366</v>
      </c>
      <c r="K39" s="395" t="s">
        <v>45</v>
      </c>
      <c r="L39" s="109">
        <f>L35+L37+L38+L36</f>
        <v>191000</v>
      </c>
      <c r="M39" s="129"/>
      <c r="N39" s="139"/>
    </row>
    <row r="40" spans="1:14" ht="15" customHeight="1" x14ac:dyDescent="0.2">
      <c r="A40" s="164" t="s">
        <v>104</v>
      </c>
      <c r="B40" s="169">
        <v>-17000</v>
      </c>
      <c r="C40" s="162"/>
      <c r="D40" s="178" t="s">
        <v>172</v>
      </c>
      <c r="F40" s="101" t="s">
        <v>104</v>
      </c>
      <c r="G40" s="106">
        <v>-17000</v>
      </c>
      <c r="H40" s="98"/>
      <c r="I40" s="112" t="s">
        <v>172</v>
      </c>
      <c r="K40" s="138" t="s">
        <v>104</v>
      </c>
      <c r="L40" s="109">
        <v>-17000</v>
      </c>
      <c r="M40" s="129"/>
      <c r="N40" s="140" t="s">
        <v>172</v>
      </c>
    </row>
    <row r="41" spans="1:14" ht="15" customHeight="1" x14ac:dyDescent="0.2">
      <c r="A41" s="164" t="s">
        <v>110</v>
      </c>
      <c r="B41" s="169">
        <v>0</v>
      </c>
      <c r="C41" s="162"/>
      <c r="D41" s="180" t="s">
        <v>171</v>
      </c>
      <c r="F41" s="101" t="s">
        <v>44</v>
      </c>
      <c r="G41" s="106">
        <v>0</v>
      </c>
      <c r="H41" s="98"/>
      <c r="I41" s="112" t="s">
        <v>171</v>
      </c>
      <c r="K41" s="138" t="s">
        <v>44</v>
      </c>
      <c r="L41" s="109">
        <v>0</v>
      </c>
      <c r="M41" s="129"/>
      <c r="N41" s="139" t="s">
        <v>171</v>
      </c>
    </row>
    <row r="42" spans="1:14" ht="15" customHeight="1" x14ac:dyDescent="0.2">
      <c r="A42" s="172" t="s">
        <v>46</v>
      </c>
      <c r="B42" s="173">
        <f>B39+B47+B48</f>
        <v>191000</v>
      </c>
      <c r="C42" s="179"/>
      <c r="D42" s="178" t="s">
        <v>383</v>
      </c>
      <c r="F42" s="113" t="s">
        <v>46</v>
      </c>
      <c r="G42" s="114">
        <f>G39+G47+G48</f>
        <v>191000</v>
      </c>
      <c r="H42" s="120"/>
      <c r="I42" s="119" t="s">
        <v>383</v>
      </c>
      <c r="K42" s="141" t="s">
        <v>46</v>
      </c>
      <c r="L42" s="116">
        <f>L39+L47+L48</f>
        <v>191000</v>
      </c>
      <c r="M42" s="134"/>
      <c r="N42" s="244" t="s">
        <v>383</v>
      </c>
    </row>
    <row r="43" spans="1:14" ht="15" customHeight="1" x14ac:dyDescent="0.2">
      <c r="A43" s="164" t="s">
        <v>17</v>
      </c>
      <c r="B43" s="169">
        <v>0</v>
      </c>
      <c r="C43" s="179"/>
      <c r="D43" s="180"/>
      <c r="F43" s="101" t="s">
        <v>17</v>
      </c>
      <c r="G43" s="106">
        <v>0</v>
      </c>
      <c r="H43" s="120"/>
      <c r="I43" s="108"/>
      <c r="K43" s="138" t="s">
        <v>17</v>
      </c>
      <c r="L43" s="109">
        <v>0</v>
      </c>
      <c r="M43" s="134"/>
      <c r="N43" s="245" t="s">
        <v>268</v>
      </c>
    </row>
    <row r="44" spans="1:14" ht="15" customHeight="1" x14ac:dyDescent="0.2">
      <c r="A44" s="164" t="s">
        <v>18</v>
      </c>
      <c r="B44" s="169">
        <v>0</v>
      </c>
      <c r="C44" s="179"/>
      <c r="D44" s="163"/>
      <c r="F44" s="101" t="s">
        <v>18</v>
      </c>
      <c r="G44" s="106">
        <v>0</v>
      </c>
      <c r="H44" s="120"/>
      <c r="I44" s="99"/>
      <c r="K44" s="138" t="s">
        <v>18</v>
      </c>
      <c r="L44" s="109">
        <v>0</v>
      </c>
      <c r="M44" s="134"/>
      <c r="N44" s="236"/>
    </row>
    <row r="45" spans="1:14" ht="15" customHeight="1" x14ac:dyDescent="0.2">
      <c r="A45" s="181" t="s">
        <v>47</v>
      </c>
      <c r="B45" s="169">
        <v>0</v>
      </c>
      <c r="C45" s="162"/>
      <c r="D45" s="178"/>
      <c r="F45" s="121" t="s">
        <v>47</v>
      </c>
      <c r="G45" s="106">
        <v>0</v>
      </c>
      <c r="H45" s="98"/>
      <c r="I45" s="119"/>
      <c r="K45" s="133" t="s">
        <v>47</v>
      </c>
      <c r="L45" s="109">
        <v>0</v>
      </c>
      <c r="M45" s="129"/>
      <c r="N45" s="244"/>
    </row>
    <row r="46" spans="1:14" ht="24" customHeight="1" x14ac:dyDescent="0.2">
      <c r="A46" s="164" t="s">
        <v>380</v>
      </c>
      <c r="B46" s="169">
        <v>30000</v>
      </c>
      <c r="C46" s="179"/>
      <c r="D46" s="163"/>
      <c r="F46" s="101" t="s">
        <v>380</v>
      </c>
      <c r="G46" s="106">
        <v>30000</v>
      </c>
      <c r="H46" s="120"/>
      <c r="I46" s="99"/>
      <c r="K46" s="138" t="s">
        <v>380</v>
      </c>
      <c r="L46" s="109">
        <v>30000</v>
      </c>
      <c r="M46" s="134"/>
      <c r="N46" s="236" t="s">
        <v>269</v>
      </c>
    </row>
    <row r="47" spans="1:14" ht="24" customHeight="1" x14ac:dyDescent="0.2">
      <c r="A47" s="164" t="s">
        <v>354</v>
      </c>
      <c r="B47" s="169">
        <v>0</v>
      </c>
      <c r="C47" s="179"/>
      <c r="D47" s="163"/>
      <c r="F47" s="101" t="s">
        <v>354</v>
      </c>
      <c r="G47" s="106">
        <v>0</v>
      </c>
      <c r="H47" s="120"/>
      <c r="I47" s="99"/>
      <c r="K47" s="138" t="s">
        <v>354</v>
      </c>
      <c r="L47" s="109">
        <v>0</v>
      </c>
      <c r="M47" s="134"/>
      <c r="N47" s="236"/>
    </row>
    <row r="48" spans="1:14" ht="24" customHeight="1" x14ac:dyDescent="0.2">
      <c r="A48" s="164" t="s">
        <v>274</v>
      </c>
      <c r="B48" s="169">
        <v>0</v>
      </c>
      <c r="C48" s="179"/>
      <c r="D48" s="163" t="s">
        <v>355</v>
      </c>
      <c r="F48" s="101" t="s">
        <v>274</v>
      </c>
      <c r="G48" s="106">
        <v>0</v>
      </c>
      <c r="H48" s="120"/>
      <c r="I48" s="99"/>
      <c r="K48" s="138" t="s">
        <v>274</v>
      </c>
      <c r="L48" s="109">
        <v>0</v>
      </c>
      <c r="M48" s="134"/>
      <c r="N48" s="236"/>
    </row>
    <row r="49" spans="1:14" ht="24" customHeight="1" x14ac:dyDescent="0.2">
      <c r="A49" s="164" t="s">
        <v>345</v>
      </c>
      <c r="B49" s="169">
        <f>22400+27690+100000</f>
        <v>150090</v>
      </c>
      <c r="C49" s="179"/>
      <c r="D49" s="232" t="s">
        <v>394</v>
      </c>
      <c r="F49" s="101" t="s">
        <v>345</v>
      </c>
      <c r="G49" s="106">
        <f>127690+22400</f>
        <v>150090</v>
      </c>
      <c r="H49" s="120"/>
      <c r="I49" s="336" t="s">
        <v>394</v>
      </c>
      <c r="K49" s="138" t="s">
        <v>345</v>
      </c>
      <c r="L49" s="109">
        <v>232890</v>
      </c>
      <c r="M49" s="134"/>
      <c r="N49" s="236" t="s">
        <v>381</v>
      </c>
    </row>
    <row r="50" spans="1:14" ht="15" customHeight="1" x14ac:dyDescent="0.2">
      <c r="A50" s="164"/>
      <c r="B50" s="169"/>
      <c r="C50" s="179"/>
      <c r="D50" s="163"/>
      <c r="F50" s="101"/>
      <c r="G50" s="106"/>
      <c r="H50" s="120"/>
      <c r="I50" s="99"/>
      <c r="K50" s="138"/>
      <c r="L50" s="109"/>
      <c r="M50" s="134"/>
      <c r="N50" s="236"/>
    </row>
    <row r="51" spans="1:14" ht="15" customHeight="1" thickBot="1" x14ac:dyDescent="0.25">
      <c r="A51" s="203" t="s">
        <v>49</v>
      </c>
      <c r="B51" s="183">
        <f>SUM(B14,B30,B42)</f>
        <v>5750549</v>
      </c>
      <c r="C51" s="184"/>
      <c r="D51" s="185"/>
      <c r="F51" s="122" t="s">
        <v>49</v>
      </c>
      <c r="G51" s="123">
        <f>SUM(G14,G30,G42)</f>
        <v>5750549</v>
      </c>
      <c r="H51" s="194"/>
      <c r="I51" s="150"/>
      <c r="K51" s="142" t="s">
        <v>49</v>
      </c>
      <c r="L51" s="143">
        <f>SUM(L14,L30,L42)</f>
        <v>5854012</v>
      </c>
      <c r="M51" s="195"/>
      <c r="N51" s="246"/>
    </row>
    <row r="52" spans="1:14" ht="27.75" customHeight="1" x14ac:dyDescent="0.2">
      <c r="A52" s="205" t="s">
        <v>134</v>
      </c>
      <c r="B52" s="204">
        <f>1500000-70000-30000-17302</f>
        <v>1382698</v>
      </c>
      <c r="C52" s="205"/>
      <c r="D52" s="232" t="s">
        <v>344</v>
      </c>
      <c r="F52" s="207" t="s">
        <v>134</v>
      </c>
      <c r="G52" s="208">
        <f>1500000-70000-30000-17302</f>
        <v>1382698</v>
      </c>
      <c r="H52" s="209"/>
      <c r="I52" s="386" t="s">
        <v>344</v>
      </c>
      <c r="K52" s="210" t="s">
        <v>134</v>
      </c>
      <c r="L52" s="211">
        <v>1382698</v>
      </c>
      <c r="M52" s="212"/>
      <c r="N52" s="234" t="s">
        <v>344</v>
      </c>
    </row>
    <row r="53" spans="1:14" ht="15" customHeight="1" thickBot="1" x14ac:dyDescent="0.25">
      <c r="A53" s="203" t="s">
        <v>135</v>
      </c>
      <c r="B53" s="183">
        <f>B51+B52</f>
        <v>7133247</v>
      </c>
      <c r="C53" s="184"/>
      <c r="D53" s="185"/>
      <c r="F53" s="206" t="s">
        <v>135</v>
      </c>
      <c r="G53" s="123">
        <f>G51+G52</f>
        <v>7133247</v>
      </c>
      <c r="H53" s="124"/>
      <c r="I53" s="150"/>
      <c r="K53" s="213" t="s">
        <v>135</v>
      </c>
      <c r="L53" s="143">
        <f>L51+L52</f>
        <v>7236710</v>
      </c>
      <c r="M53" s="144"/>
      <c r="N53" s="246"/>
    </row>
    <row r="54" spans="1:14" ht="15" customHeight="1" x14ac:dyDescent="0.2">
      <c r="B54" s="117"/>
      <c r="D54" s="117">
        <f>B39+3163</f>
        <v>194163</v>
      </c>
    </row>
    <row r="55" spans="1:14" ht="15" customHeight="1" x14ac:dyDescent="0.2">
      <c r="D55" s="126"/>
    </row>
    <row r="60" spans="1:14" ht="15" customHeight="1" x14ac:dyDescent="0.2">
      <c r="M60" s="117"/>
      <c r="N60" s="248"/>
    </row>
    <row r="61" spans="1:14" ht="15" customHeight="1" x14ac:dyDescent="0.2">
      <c r="M61" s="117"/>
    </row>
    <row r="62" spans="1:14" ht="15" customHeight="1" x14ac:dyDescent="0.2">
      <c r="M62" s="202"/>
    </row>
    <row r="63" spans="1:14" ht="15" customHeight="1" x14ac:dyDescent="0.2">
      <c r="M63" s="202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837E-5106-44D2-9EC2-292AC7714B35}">
  <sheetPr codeName="Sheet11">
    <tabColor rgb="FFFF0000"/>
  </sheetPr>
  <dimension ref="A1:AS64"/>
  <sheetViews>
    <sheetView zoomScale="90" zoomScaleNormal="90" workbookViewId="0">
      <selection activeCell="B12" sqref="B12"/>
    </sheetView>
  </sheetViews>
  <sheetFormatPr defaultColWidth="8.5546875" defaultRowHeight="15" customHeight="1" x14ac:dyDescent="0.2"/>
  <cols>
    <col min="1" max="1" width="61.44140625" style="95" bestFit="1" customWidth="1"/>
    <col min="2" max="2" width="11.5546875" style="95" bestFit="1" customWidth="1"/>
    <col min="3" max="3" width="4.5546875" style="95" customWidth="1"/>
    <col min="4" max="4" width="47.44140625" style="95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54.44140625" style="95" customWidth="1"/>
    <col min="12" max="12" width="11.5546875" style="95" bestFit="1" customWidth="1"/>
    <col min="13" max="13" width="4.5546875" style="95" customWidth="1"/>
    <col min="14" max="14" width="55.554687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240</v>
      </c>
      <c r="B1" s="509" t="s">
        <v>491</v>
      </c>
      <c r="C1" s="156"/>
      <c r="D1" s="157">
        <f>1001717-903000</f>
        <v>98717</v>
      </c>
      <c r="E1" s="125"/>
      <c r="F1" s="145" t="s">
        <v>240</v>
      </c>
      <c r="G1" s="152">
        <f>999000-1015185</f>
        <v>-16185</v>
      </c>
      <c r="H1" s="152"/>
      <c r="I1" s="153"/>
      <c r="K1" s="147" t="s">
        <v>240</v>
      </c>
      <c r="L1" s="154"/>
      <c r="M1" s="154"/>
      <c r="N1" s="235"/>
    </row>
    <row r="2" spans="1:45" ht="15" customHeight="1" x14ac:dyDescent="0.2">
      <c r="A2" s="158" t="s">
        <v>50</v>
      </c>
      <c r="B2" s="169"/>
      <c r="C2" s="159"/>
      <c r="D2" s="160"/>
      <c r="F2" s="146" t="s">
        <v>107</v>
      </c>
      <c r="G2" s="98"/>
      <c r="H2" s="98"/>
      <c r="I2" s="99"/>
      <c r="K2" s="148" t="s">
        <v>108</v>
      </c>
      <c r="L2" s="129">
        <f>994907-916000</f>
        <v>78907</v>
      </c>
      <c r="M2" s="129"/>
      <c r="N2" s="236"/>
    </row>
    <row r="3" spans="1:45" ht="15" customHeight="1" x14ac:dyDescent="0.2">
      <c r="A3" s="161" t="s">
        <v>267</v>
      </c>
      <c r="B3" s="162"/>
      <c r="C3" s="162"/>
      <c r="D3" s="163"/>
      <c r="E3" s="125"/>
      <c r="F3" s="100" t="s">
        <v>267</v>
      </c>
      <c r="G3" s="98"/>
      <c r="H3" s="106"/>
      <c r="I3" s="99">
        <f>917000-1007645</f>
        <v>-90645</v>
      </c>
      <c r="K3" s="131" t="s">
        <v>267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B31+B44</f>
        <v>0</v>
      </c>
      <c r="C7" s="162"/>
      <c r="D7" s="170"/>
      <c r="F7" s="101" t="s">
        <v>34</v>
      </c>
      <c r="G7" s="106">
        <f>G31+G44</f>
        <v>0</v>
      </c>
      <c r="H7" s="98"/>
      <c r="I7" s="102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-86183+26203</f>
        <v>-59980</v>
      </c>
      <c r="C8" s="162"/>
      <c r="D8" s="170" t="s">
        <v>494</v>
      </c>
      <c r="F8" s="101" t="s">
        <v>36</v>
      </c>
      <c r="G8" s="106">
        <v>-59980</v>
      </c>
      <c r="H8" s="98"/>
      <c r="I8" s="333" t="s">
        <v>494</v>
      </c>
      <c r="K8" s="138" t="s">
        <v>36</v>
      </c>
      <c r="L8" s="109">
        <v>-86182.777777777796</v>
      </c>
      <c r="M8" s="129"/>
      <c r="N8" s="139" t="s">
        <v>488</v>
      </c>
      <c r="O8" s="95">
        <v>-325601</v>
      </c>
    </row>
    <row r="9" spans="1:45" ht="15" customHeight="1" x14ac:dyDescent="0.2">
      <c r="A9" s="164" t="s">
        <v>37</v>
      </c>
      <c r="B9" s="169">
        <v>0</v>
      </c>
      <c r="C9" s="162"/>
      <c r="D9" s="171" t="s">
        <v>61</v>
      </c>
      <c r="E9" s="117"/>
      <c r="F9" s="101" t="s">
        <v>37</v>
      </c>
      <c r="G9" s="106">
        <v>0</v>
      </c>
      <c r="H9" s="98"/>
      <c r="I9" s="112"/>
      <c r="K9" s="138" t="s">
        <v>37</v>
      </c>
      <c r="L9" s="109">
        <v>0</v>
      </c>
      <c r="M9" s="129"/>
      <c r="N9" s="236"/>
    </row>
    <row r="10" spans="1:45" ht="15" customHeight="1" x14ac:dyDescent="0.2">
      <c r="A10" s="164" t="s">
        <v>375</v>
      </c>
      <c r="B10" s="169">
        <v>0</v>
      </c>
      <c r="C10" s="162"/>
      <c r="D10" s="171" t="s">
        <v>444</v>
      </c>
      <c r="E10" s="117"/>
      <c r="F10" s="101" t="s">
        <v>375</v>
      </c>
      <c r="G10" s="106">
        <v>0</v>
      </c>
      <c r="H10" s="98"/>
      <c r="I10" s="112"/>
      <c r="K10" s="138" t="s">
        <v>375</v>
      </c>
      <c r="L10" s="109">
        <v>0</v>
      </c>
      <c r="M10" s="129"/>
      <c r="N10" s="236"/>
      <c r="O10" s="95">
        <f>569665-600000</f>
        <v>-30335</v>
      </c>
    </row>
    <row r="11" spans="1:45" ht="15" customHeight="1" x14ac:dyDescent="0.2">
      <c r="A11" s="164" t="s">
        <v>175</v>
      </c>
      <c r="B11" s="169">
        <f>-'System Conservation'!AJ2</f>
        <v>-456096</v>
      </c>
      <c r="C11" s="162"/>
      <c r="D11" s="163"/>
      <c r="E11" s="117"/>
      <c r="F11" s="101" t="s">
        <v>175</v>
      </c>
      <c r="G11" s="106">
        <f>B11</f>
        <v>-456096</v>
      </c>
      <c r="H11" s="98"/>
      <c r="I11" s="99" t="s">
        <v>176</v>
      </c>
      <c r="K11" s="138" t="s">
        <v>175</v>
      </c>
      <c r="L11" s="109">
        <f>G11</f>
        <v>-456096</v>
      </c>
      <c r="M11" s="129"/>
      <c r="N11" s="239" t="s">
        <v>176</v>
      </c>
    </row>
    <row r="12" spans="1:45" ht="15" customHeight="1" x14ac:dyDescent="0.2">
      <c r="A12" s="164" t="s">
        <v>105</v>
      </c>
      <c r="B12" s="177">
        <v>-145</v>
      </c>
      <c r="C12" s="162"/>
      <c r="D12" s="163"/>
      <c r="F12" s="101" t="s">
        <v>105</v>
      </c>
      <c r="G12" s="110">
        <v>-145</v>
      </c>
      <c r="H12" s="98"/>
      <c r="I12" s="99"/>
      <c r="K12" s="138" t="s">
        <v>105</v>
      </c>
      <c r="L12" s="111">
        <v>-145</v>
      </c>
      <c r="M12" s="129"/>
      <c r="N12" s="236"/>
      <c r="AO12" s="117"/>
      <c r="AP12" s="117"/>
      <c r="AQ12" s="117"/>
      <c r="AS12" s="117"/>
    </row>
    <row r="13" spans="1:45" ht="15" customHeight="1" x14ac:dyDescent="0.2">
      <c r="A13" s="164" t="s">
        <v>41</v>
      </c>
      <c r="B13" s="169">
        <f>SUM(B6:B12)</f>
        <v>3883779</v>
      </c>
      <c r="C13" s="162"/>
      <c r="D13" s="171"/>
      <c r="F13" s="101" t="s">
        <v>41</v>
      </c>
      <c r="G13" s="106">
        <f>SUM(G6:G12)</f>
        <v>3883779</v>
      </c>
      <c r="H13" s="98"/>
      <c r="I13" s="112"/>
      <c r="K13" s="138" t="s">
        <v>41</v>
      </c>
      <c r="L13" s="109">
        <f>SUM(L6:L12)</f>
        <v>3857576.222222222</v>
      </c>
      <c r="M13" s="129"/>
      <c r="N13" s="139"/>
      <c r="O13" s="117"/>
      <c r="P13" s="117"/>
    </row>
    <row r="14" spans="1:45" ht="15" customHeight="1" x14ac:dyDescent="0.2">
      <c r="A14" s="172" t="s">
        <v>40</v>
      </c>
      <c r="B14" s="173">
        <f>B13+B15</f>
        <v>3883779</v>
      </c>
      <c r="C14" s="162"/>
      <c r="D14" s="174"/>
      <c r="F14" s="113" t="s">
        <v>40</v>
      </c>
      <c r="G14" s="114">
        <f>G13+G15</f>
        <v>3883779</v>
      </c>
      <c r="H14" s="106"/>
      <c r="I14" s="149"/>
      <c r="K14" s="141" t="s">
        <v>40</v>
      </c>
      <c r="L14" s="116">
        <f>L13+L15</f>
        <v>3857576.222222222</v>
      </c>
      <c r="M14" s="129"/>
      <c r="N14" s="240"/>
      <c r="AO14" s="117"/>
      <c r="AP14" s="117"/>
      <c r="AQ14" s="117"/>
      <c r="AS14" s="117"/>
    </row>
    <row r="15" spans="1:45" ht="15" customHeight="1" x14ac:dyDescent="0.2">
      <c r="A15" s="164" t="s">
        <v>17</v>
      </c>
      <c r="B15" s="169">
        <v>0</v>
      </c>
      <c r="C15" s="162"/>
      <c r="D15" s="175"/>
      <c r="F15" s="101" t="s">
        <v>17</v>
      </c>
      <c r="G15" s="106">
        <v>0</v>
      </c>
      <c r="H15" s="98"/>
      <c r="I15" s="115"/>
      <c r="K15" s="138" t="s">
        <v>17</v>
      </c>
      <c r="L15" s="109">
        <v>0</v>
      </c>
      <c r="M15" s="109"/>
      <c r="N15" s="240"/>
    </row>
    <row r="16" spans="1:45" ht="15" customHeight="1" x14ac:dyDescent="0.2">
      <c r="A16" s="164" t="s">
        <v>18</v>
      </c>
      <c r="B16" s="169">
        <v>0</v>
      </c>
      <c r="C16" s="162"/>
      <c r="D16" s="175"/>
      <c r="F16" s="101" t="s">
        <v>18</v>
      </c>
      <c r="G16" s="106">
        <v>0</v>
      </c>
      <c r="H16" s="98"/>
      <c r="I16" s="115"/>
      <c r="K16" s="138" t="s">
        <v>18</v>
      </c>
      <c r="L16" s="109">
        <v>0</v>
      </c>
      <c r="M16" s="129"/>
      <c r="N16" s="240"/>
      <c r="AO16" s="117"/>
      <c r="AP16" s="117"/>
      <c r="AQ16" s="117"/>
    </row>
    <row r="17" spans="1:43" ht="15" customHeight="1" x14ac:dyDescent="0.2">
      <c r="A17" s="164"/>
      <c r="B17" s="169"/>
      <c r="C17" s="162"/>
      <c r="D17" s="176"/>
      <c r="F17" s="101"/>
      <c r="G17" s="106"/>
      <c r="H17" s="98"/>
      <c r="I17" s="118"/>
      <c r="K17" s="138"/>
      <c r="L17" s="109"/>
      <c r="M17" s="129"/>
      <c r="N17" s="241"/>
    </row>
    <row r="18" spans="1:43" ht="15" customHeight="1" x14ac:dyDescent="0.2">
      <c r="A18" s="166" t="s">
        <v>1</v>
      </c>
      <c r="B18" s="167" t="s">
        <v>5</v>
      </c>
      <c r="C18" s="162"/>
      <c r="D18" s="168" t="s">
        <v>6</v>
      </c>
      <c r="F18" s="103" t="s">
        <v>1</v>
      </c>
      <c r="G18" s="104" t="s">
        <v>5</v>
      </c>
      <c r="H18" s="98"/>
      <c r="I18" s="105" t="s">
        <v>6</v>
      </c>
      <c r="K18" s="135" t="s">
        <v>1</v>
      </c>
      <c r="L18" s="136" t="s">
        <v>5</v>
      </c>
      <c r="M18" s="129"/>
      <c r="N18" s="238" t="s">
        <v>6</v>
      </c>
      <c r="AO18" s="117"/>
      <c r="AP18" s="117"/>
      <c r="AQ18" s="117"/>
    </row>
    <row r="19" spans="1:43" ht="15" customHeight="1" x14ac:dyDescent="0.2">
      <c r="A19" s="164" t="s">
        <v>3</v>
      </c>
      <c r="B19" s="169">
        <v>2800000</v>
      </c>
      <c r="C19" s="162"/>
      <c r="D19" s="163"/>
      <c r="F19" s="101" t="s">
        <v>3</v>
      </c>
      <c r="G19" s="106">
        <v>2800000</v>
      </c>
      <c r="H19" s="98"/>
      <c r="I19" s="99"/>
      <c r="K19" s="138" t="s">
        <v>3</v>
      </c>
      <c r="L19" s="109">
        <v>2800000</v>
      </c>
      <c r="M19" s="129"/>
      <c r="N19" s="236"/>
      <c r="AO19" s="117"/>
      <c r="AP19" s="117"/>
      <c r="AQ19" s="117"/>
    </row>
    <row r="20" spans="1:43" ht="15" customHeight="1" x14ac:dyDescent="0.2">
      <c r="A20" s="164" t="s">
        <v>132</v>
      </c>
      <c r="B20" s="169">
        <v>0</v>
      </c>
      <c r="C20" s="162"/>
      <c r="D20" s="163"/>
      <c r="F20" s="101" t="s">
        <v>132</v>
      </c>
      <c r="G20" s="106">
        <v>0</v>
      </c>
      <c r="H20" s="98"/>
      <c r="I20" s="99"/>
      <c r="K20" s="138" t="s">
        <v>132</v>
      </c>
      <c r="L20" s="109">
        <v>0</v>
      </c>
      <c r="M20" s="129"/>
      <c r="N20" s="236"/>
    </row>
    <row r="21" spans="1:43" ht="15" customHeight="1" x14ac:dyDescent="0.2">
      <c r="A21" s="164" t="s">
        <v>35</v>
      </c>
      <c r="B21" s="169">
        <v>0</v>
      </c>
      <c r="C21" s="162"/>
      <c r="D21" s="163" t="s">
        <v>495</v>
      </c>
      <c r="F21" s="101" t="s">
        <v>35</v>
      </c>
      <c r="G21" s="106">
        <v>0</v>
      </c>
      <c r="H21" s="98"/>
      <c r="I21" s="99" t="s">
        <v>500</v>
      </c>
      <c r="K21" s="138" t="s">
        <v>35</v>
      </c>
      <c r="L21" s="109">
        <v>0</v>
      </c>
      <c r="M21" s="129"/>
      <c r="N21" s="236" t="s">
        <v>448</v>
      </c>
    </row>
    <row r="22" spans="1:43" ht="15" customHeight="1" x14ac:dyDescent="0.2">
      <c r="A22" s="164" t="s">
        <v>111</v>
      </c>
      <c r="B22" s="169">
        <v>0</v>
      </c>
      <c r="C22" s="162"/>
      <c r="D22" s="163"/>
      <c r="F22" s="101" t="s">
        <v>111</v>
      </c>
      <c r="G22" s="106">
        <v>0</v>
      </c>
      <c r="H22" s="98"/>
      <c r="I22" s="99"/>
      <c r="K22" s="138" t="s">
        <v>111</v>
      </c>
      <c r="L22" s="109">
        <v>0</v>
      </c>
      <c r="M22" s="129"/>
      <c r="N22" s="265"/>
    </row>
    <row r="23" spans="1:43" ht="15" customHeight="1" x14ac:dyDescent="0.2">
      <c r="A23" s="164" t="s">
        <v>21</v>
      </c>
      <c r="B23" s="169">
        <v>0</v>
      </c>
      <c r="C23" s="162"/>
      <c r="D23" s="163"/>
      <c r="F23" s="101" t="s">
        <v>21</v>
      </c>
      <c r="G23" s="106">
        <v>0</v>
      </c>
      <c r="H23" s="98"/>
      <c r="I23" s="99"/>
      <c r="K23" s="138" t="s">
        <v>21</v>
      </c>
      <c r="L23" s="109">
        <v>0</v>
      </c>
      <c r="M23" s="129"/>
      <c r="N23" s="236"/>
    </row>
    <row r="24" spans="1:43" ht="15" customHeight="1" x14ac:dyDescent="0.2">
      <c r="A24" s="164" t="s">
        <v>103</v>
      </c>
      <c r="B24" s="169">
        <v>-400</v>
      </c>
      <c r="C24" s="162"/>
      <c r="D24" s="163"/>
      <c r="F24" s="101" t="s">
        <v>103</v>
      </c>
      <c r="G24" s="106">
        <v>-400</v>
      </c>
      <c r="H24" s="98"/>
      <c r="I24" s="99"/>
      <c r="K24" s="138" t="s">
        <v>103</v>
      </c>
      <c r="L24" s="109">
        <v>-400</v>
      </c>
      <c r="M24" s="129"/>
      <c r="N24" s="236"/>
    </row>
    <row r="25" spans="1:43" ht="15" customHeight="1" x14ac:dyDescent="0.2">
      <c r="A25" s="164" t="s">
        <v>113</v>
      </c>
      <c r="B25" s="169">
        <f>-SUM('System Conservation'!T2,'System Conservation'!AB2)</f>
        <v>-351590.5</v>
      </c>
      <c r="C25" s="162"/>
      <c r="D25" s="163" t="s">
        <v>343</v>
      </c>
      <c r="F25" s="101" t="s">
        <v>113</v>
      </c>
      <c r="G25" s="106">
        <f>B25</f>
        <v>-351590.5</v>
      </c>
      <c r="H25" s="98"/>
      <c r="I25" s="99" t="s">
        <v>343</v>
      </c>
      <c r="K25" s="138" t="s">
        <v>113</v>
      </c>
      <c r="L25" s="109">
        <f>B25</f>
        <v>-351590.5</v>
      </c>
      <c r="M25" s="129"/>
      <c r="N25" s="236" t="s">
        <v>343</v>
      </c>
    </row>
    <row r="26" spans="1:43" s="197" customFormat="1" ht="15" customHeight="1" x14ac:dyDescent="0.25">
      <c r="A26" s="172" t="s">
        <v>408</v>
      </c>
      <c r="B26" s="173">
        <f>SUM(B19:B25)</f>
        <v>2448009.5</v>
      </c>
      <c r="C26" s="196"/>
      <c r="D26" s="189"/>
      <c r="F26" s="113" t="s">
        <v>261</v>
      </c>
      <c r="G26" s="114">
        <f>SUM(G19:G25)</f>
        <v>2448009.5</v>
      </c>
      <c r="H26" s="198"/>
      <c r="I26" s="201"/>
      <c r="K26" s="141" t="s">
        <v>261</v>
      </c>
      <c r="L26" s="116">
        <f>SUM(L19:L25)</f>
        <v>2448009.5</v>
      </c>
      <c r="M26" s="199"/>
      <c r="N26" s="242"/>
    </row>
    <row r="27" spans="1:43" ht="30.75" customHeight="1" x14ac:dyDescent="0.2">
      <c r="A27" s="164" t="s">
        <v>110</v>
      </c>
      <c r="B27" s="169">
        <v>-192000</v>
      </c>
      <c r="C27" s="162"/>
      <c r="D27" s="232" t="s">
        <v>493</v>
      </c>
      <c r="F27" s="101" t="s">
        <v>110</v>
      </c>
      <c r="G27" s="106">
        <v>-192000</v>
      </c>
      <c r="H27" s="98"/>
      <c r="I27" s="336" t="s">
        <v>493</v>
      </c>
      <c r="K27" s="138" t="s">
        <v>110</v>
      </c>
      <c r="L27" s="109">
        <v>-192000</v>
      </c>
      <c r="M27" s="129"/>
      <c r="N27" s="236" t="s">
        <v>446</v>
      </c>
    </row>
    <row r="28" spans="1:43" ht="33" customHeight="1" x14ac:dyDescent="0.2">
      <c r="A28" s="164" t="s">
        <v>129</v>
      </c>
      <c r="B28" s="169">
        <v>10000</v>
      </c>
      <c r="C28" s="162"/>
      <c r="D28" s="232" t="s">
        <v>492</v>
      </c>
      <c r="F28" s="101" t="s">
        <v>129</v>
      </c>
      <c r="G28" s="106">
        <v>10000</v>
      </c>
      <c r="H28" s="98"/>
      <c r="I28" s="99" t="s">
        <v>492</v>
      </c>
      <c r="K28" s="138" t="s">
        <v>129</v>
      </c>
      <c r="L28" s="109">
        <v>25000</v>
      </c>
      <c r="M28" s="129"/>
      <c r="N28" s="236" t="s">
        <v>445</v>
      </c>
    </row>
    <row r="29" spans="1:43" ht="15" customHeight="1" x14ac:dyDescent="0.2">
      <c r="A29" s="164" t="s">
        <v>133</v>
      </c>
      <c r="B29" s="169">
        <v>-320000</v>
      </c>
      <c r="C29" s="162"/>
      <c r="D29" s="163" t="s">
        <v>150</v>
      </c>
      <c r="F29" s="101" t="s">
        <v>133</v>
      </c>
      <c r="G29" s="106">
        <v>-320000</v>
      </c>
      <c r="H29" s="98"/>
      <c r="I29" s="99" t="s">
        <v>150</v>
      </c>
      <c r="K29" s="138" t="s">
        <v>133</v>
      </c>
      <c r="L29" s="109">
        <v>-320000</v>
      </c>
      <c r="M29" s="129"/>
      <c r="N29" s="236"/>
    </row>
    <row r="30" spans="1:43" s="197" customFormat="1" ht="15" customHeight="1" x14ac:dyDescent="0.25">
      <c r="A30" s="372" t="s">
        <v>409</v>
      </c>
      <c r="B30" s="228">
        <f>SUM(B26:B29)</f>
        <v>1946009.5</v>
      </c>
      <c r="C30" s="196"/>
      <c r="D30" s="200"/>
      <c r="F30" s="393" t="s">
        <v>43</v>
      </c>
      <c r="G30" s="231">
        <f>SUM(G26:G29)</f>
        <v>1946009.5</v>
      </c>
      <c r="H30" s="198"/>
      <c r="I30" s="230"/>
      <c r="K30" s="395" t="s">
        <v>43</v>
      </c>
      <c r="L30" s="229">
        <f>SUM(L26:L29)</f>
        <v>1961009.5</v>
      </c>
      <c r="M30" s="199"/>
      <c r="N30" s="243"/>
    </row>
    <row r="31" spans="1:43" ht="15" customHeight="1" x14ac:dyDescent="0.2">
      <c r="A31" s="164" t="s">
        <v>17</v>
      </c>
      <c r="B31" s="169">
        <v>0</v>
      </c>
      <c r="C31" s="162"/>
      <c r="D31" s="163"/>
      <c r="F31" s="101" t="s">
        <v>17</v>
      </c>
      <c r="G31" s="106">
        <v>0</v>
      </c>
      <c r="H31" s="98"/>
      <c r="I31" s="99"/>
      <c r="K31" s="138" t="s">
        <v>17</v>
      </c>
      <c r="L31" s="109">
        <v>0</v>
      </c>
      <c r="M31" s="129"/>
      <c r="N31" s="236"/>
    </row>
    <row r="32" spans="1:43" ht="15" customHeight="1" x14ac:dyDescent="0.2">
      <c r="A32" s="164" t="s">
        <v>18</v>
      </c>
      <c r="B32" s="169">
        <v>0</v>
      </c>
      <c r="C32" s="162"/>
      <c r="D32" s="163"/>
      <c r="F32" s="101" t="s">
        <v>18</v>
      </c>
      <c r="G32" s="106">
        <v>0</v>
      </c>
      <c r="H32" s="98"/>
      <c r="I32" s="99"/>
      <c r="K32" s="138" t="s">
        <v>18</v>
      </c>
      <c r="L32" s="109">
        <v>0</v>
      </c>
      <c r="M32" s="129"/>
      <c r="N32" s="236"/>
    </row>
    <row r="33" spans="1:14" ht="15" customHeight="1" x14ac:dyDescent="0.2">
      <c r="A33" s="351" t="s">
        <v>345</v>
      </c>
      <c r="B33" s="510">
        <v>0</v>
      </c>
      <c r="C33" s="162"/>
      <c r="D33" s="168"/>
      <c r="F33" s="101"/>
      <c r="G33" s="106"/>
      <c r="H33" s="98"/>
      <c r="I33" s="105"/>
      <c r="K33" s="138"/>
      <c r="L33" s="109"/>
      <c r="M33" s="129"/>
      <c r="N33" s="238"/>
    </row>
    <row r="34" spans="1:14" ht="15" customHeight="1" x14ac:dyDescent="0.2">
      <c r="A34" s="166" t="s">
        <v>2</v>
      </c>
      <c r="B34" s="169"/>
      <c r="C34" s="162"/>
      <c r="D34" s="168" t="s">
        <v>6</v>
      </c>
      <c r="F34" s="103" t="s">
        <v>2</v>
      </c>
      <c r="G34" s="106"/>
      <c r="H34" s="98"/>
      <c r="I34" s="105" t="s">
        <v>6</v>
      </c>
      <c r="K34" s="135" t="s">
        <v>2</v>
      </c>
      <c r="L34" s="109"/>
      <c r="M34" s="129"/>
      <c r="N34" s="238" t="s">
        <v>6</v>
      </c>
    </row>
    <row r="35" spans="1:14" ht="15" customHeight="1" x14ac:dyDescent="0.2">
      <c r="A35" s="164" t="s">
        <v>3</v>
      </c>
      <c r="B35" s="169">
        <v>300000</v>
      </c>
      <c r="C35" s="162"/>
      <c r="D35" s="163"/>
      <c r="F35" s="101" t="s">
        <v>3</v>
      </c>
      <c r="G35" s="106">
        <v>300000</v>
      </c>
      <c r="H35" s="98"/>
      <c r="I35" s="99"/>
      <c r="K35" s="138" t="s">
        <v>3</v>
      </c>
      <c r="L35" s="109">
        <v>300000</v>
      </c>
      <c r="M35" s="129"/>
      <c r="N35" s="236"/>
    </row>
    <row r="36" spans="1:14" ht="15" customHeight="1" x14ac:dyDescent="0.2">
      <c r="A36" s="164" t="s">
        <v>356</v>
      </c>
      <c r="B36" s="169">
        <v>-13000</v>
      </c>
      <c r="C36" s="162"/>
      <c r="D36" s="178" t="s">
        <v>365</v>
      </c>
      <c r="F36" s="101" t="s">
        <v>104</v>
      </c>
      <c r="G36" s="106">
        <v>-13000</v>
      </c>
      <c r="H36" s="98"/>
      <c r="I36" s="99"/>
      <c r="K36" s="138" t="s">
        <v>104</v>
      </c>
      <c r="L36" s="109">
        <v>-13000</v>
      </c>
      <c r="M36" s="129"/>
      <c r="N36" s="236"/>
    </row>
    <row r="37" spans="1:14" ht="25.5" customHeight="1" x14ac:dyDescent="0.2">
      <c r="A37" s="164" t="s">
        <v>115</v>
      </c>
      <c r="B37" s="169">
        <v>0</v>
      </c>
      <c r="C37" s="162"/>
      <c r="D37" s="178" t="s">
        <v>447</v>
      </c>
      <c r="F37" s="101" t="s">
        <v>358</v>
      </c>
      <c r="G37" s="106">
        <v>0</v>
      </c>
      <c r="H37" s="98"/>
      <c r="I37" s="119" t="s">
        <v>443</v>
      </c>
      <c r="K37" s="138" t="s">
        <v>358</v>
      </c>
      <c r="L37" s="109">
        <v>0</v>
      </c>
      <c r="M37" s="129"/>
      <c r="N37" s="140" t="s">
        <v>418</v>
      </c>
    </row>
    <row r="38" spans="1:14" ht="25.5" customHeight="1" x14ac:dyDescent="0.2">
      <c r="A38" s="164" t="s">
        <v>428</v>
      </c>
      <c r="B38" s="169">
        <v>-75000</v>
      </c>
      <c r="C38" s="162"/>
      <c r="D38" s="178" t="s">
        <v>496</v>
      </c>
      <c r="F38" s="101" t="s">
        <v>428</v>
      </c>
      <c r="G38" s="106">
        <v>-75000</v>
      </c>
      <c r="H38" s="98"/>
      <c r="I38" s="119" t="s">
        <v>496</v>
      </c>
      <c r="K38" s="138" t="s">
        <v>428</v>
      </c>
      <c r="L38" s="109">
        <v>-100000</v>
      </c>
      <c r="M38" s="129"/>
      <c r="N38" s="140" t="s">
        <v>450</v>
      </c>
    </row>
    <row r="39" spans="1:14" ht="21.75" customHeight="1" x14ac:dyDescent="0.2">
      <c r="A39" s="164" t="s">
        <v>53</v>
      </c>
      <c r="B39" s="177">
        <v>0</v>
      </c>
      <c r="C39" s="162"/>
      <c r="D39" s="171"/>
      <c r="F39" s="101" t="s">
        <v>53</v>
      </c>
      <c r="G39" s="110">
        <v>0</v>
      </c>
      <c r="H39" s="98"/>
      <c r="I39" s="112"/>
      <c r="K39" s="138" t="s">
        <v>53</v>
      </c>
      <c r="L39" s="111">
        <v>0</v>
      </c>
      <c r="M39" s="129"/>
      <c r="N39" s="139"/>
    </row>
    <row r="40" spans="1:14" ht="15" customHeight="1" x14ac:dyDescent="0.2">
      <c r="A40" s="372" t="s">
        <v>45</v>
      </c>
      <c r="B40" s="392">
        <f>B35+B37+B39+B36+B38</f>
        <v>212000</v>
      </c>
      <c r="C40" s="162"/>
      <c r="D40" s="171" t="s">
        <v>499</v>
      </c>
      <c r="F40" s="393" t="s">
        <v>45</v>
      </c>
      <c r="G40" s="394">
        <f>G35+G37+G39+G36+G38</f>
        <v>212000</v>
      </c>
      <c r="H40" s="98"/>
      <c r="I40" s="112" t="s">
        <v>480</v>
      </c>
      <c r="K40" s="395" t="s">
        <v>45</v>
      </c>
      <c r="L40" s="334">
        <f>L35+L37+L39+L36+L38</f>
        <v>187000</v>
      </c>
      <c r="M40" s="129"/>
      <c r="N40" s="139" t="s">
        <v>487</v>
      </c>
    </row>
    <row r="41" spans="1:14" ht="15" customHeight="1" x14ac:dyDescent="0.2">
      <c r="A41" s="164" t="s">
        <v>104</v>
      </c>
      <c r="B41" s="169">
        <v>-13000</v>
      </c>
      <c r="C41" s="162"/>
      <c r="D41" s="178" t="s">
        <v>172</v>
      </c>
      <c r="F41" s="101" t="s">
        <v>104</v>
      </c>
      <c r="G41" s="106">
        <v>-13000</v>
      </c>
      <c r="H41" s="98"/>
      <c r="I41" s="112" t="s">
        <v>172</v>
      </c>
      <c r="K41" s="138" t="s">
        <v>104</v>
      </c>
      <c r="L41" s="109">
        <v>0</v>
      </c>
      <c r="M41" s="129"/>
      <c r="N41" s="140" t="s">
        <v>241</v>
      </c>
    </row>
    <row r="42" spans="1:14" ht="15" customHeight="1" x14ac:dyDescent="0.2">
      <c r="A42" s="164" t="s">
        <v>110</v>
      </c>
      <c r="B42" s="169">
        <v>0</v>
      </c>
      <c r="C42" s="162"/>
      <c r="D42" s="180" t="s">
        <v>252</v>
      </c>
      <c r="F42" s="101" t="s">
        <v>44</v>
      </c>
      <c r="G42" s="106">
        <v>0</v>
      </c>
      <c r="H42" s="98"/>
      <c r="I42" s="112" t="s">
        <v>171</v>
      </c>
      <c r="K42" s="138" t="s">
        <v>44</v>
      </c>
      <c r="L42" s="109">
        <v>0</v>
      </c>
      <c r="M42" s="129"/>
      <c r="N42" s="139" t="s">
        <v>252</v>
      </c>
    </row>
    <row r="43" spans="1:14" ht="15" customHeight="1" x14ac:dyDescent="0.2">
      <c r="A43" s="172" t="s">
        <v>46</v>
      </c>
      <c r="B43" s="173">
        <f>B40+B48+B49+B51</f>
        <v>212000</v>
      </c>
      <c r="C43" s="179"/>
      <c r="D43" s="178" t="s">
        <v>497</v>
      </c>
      <c r="F43" s="113" t="s">
        <v>46</v>
      </c>
      <c r="G43" s="114">
        <f>G40+G48+G49+G51</f>
        <v>212000</v>
      </c>
      <c r="H43" s="120"/>
      <c r="I43" s="119" t="s">
        <v>481</v>
      </c>
      <c r="K43" s="141" t="s">
        <v>46</v>
      </c>
      <c r="L43" s="111">
        <f>L40+L48+L49+L51</f>
        <v>187000</v>
      </c>
      <c r="M43" s="134"/>
      <c r="N43" s="335" t="s">
        <v>482</v>
      </c>
    </row>
    <row r="44" spans="1:14" ht="15" customHeight="1" x14ac:dyDescent="0.2">
      <c r="A44" s="431" t="s">
        <v>455</v>
      </c>
      <c r="B44" s="169">
        <v>0</v>
      </c>
      <c r="C44" s="179"/>
      <c r="D44" s="180"/>
      <c r="F44" s="101" t="s">
        <v>17</v>
      </c>
      <c r="G44" s="106">
        <v>0</v>
      </c>
      <c r="H44" s="120"/>
      <c r="I44" s="108" t="s">
        <v>171</v>
      </c>
      <c r="K44" s="138" t="s">
        <v>17</v>
      </c>
      <c r="L44" s="109">
        <v>0</v>
      </c>
      <c r="M44" s="134"/>
      <c r="N44" s="245"/>
    </row>
    <row r="45" spans="1:14" ht="15" customHeight="1" x14ac:dyDescent="0.2">
      <c r="A45" s="431" t="s">
        <v>456</v>
      </c>
      <c r="B45" s="169">
        <v>0</v>
      </c>
      <c r="C45" s="179"/>
      <c r="D45" s="163"/>
      <c r="F45" s="101" t="s">
        <v>18</v>
      </c>
      <c r="G45" s="106">
        <v>0</v>
      </c>
      <c r="H45" s="120"/>
      <c r="I45" s="99"/>
      <c r="K45" s="138" t="s">
        <v>18</v>
      </c>
      <c r="L45" s="109">
        <v>0</v>
      </c>
      <c r="M45" s="134"/>
      <c r="N45" s="236"/>
    </row>
    <row r="46" spans="1:14" ht="11.4" x14ac:dyDescent="0.2">
      <c r="A46" s="431" t="s">
        <v>457</v>
      </c>
      <c r="B46" s="169">
        <v>0</v>
      </c>
      <c r="C46" s="162"/>
      <c r="D46" s="178"/>
      <c r="F46" s="121" t="s">
        <v>47</v>
      </c>
      <c r="G46" s="106">
        <v>0</v>
      </c>
      <c r="H46" s="98"/>
      <c r="I46" s="119"/>
      <c r="K46" s="133" t="s">
        <v>47</v>
      </c>
      <c r="L46" s="109">
        <v>0</v>
      </c>
      <c r="M46" s="129"/>
      <c r="N46" s="244"/>
    </row>
    <row r="47" spans="1:14" ht="15" customHeight="1" x14ac:dyDescent="0.2">
      <c r="A47" s="431" t="s">
        <v>357</v>
      </c>
      <c r="B47" s="169">
        <v>36000</v>
      </c>
      <c r="C47" s="179"/>
      <c r="D47" s="163"/>
      <c r="F47" s="101" t="s">
        <v>54</v>
      </c>
      <c r="G47" s="106">
        <v>36000</v>
      </c>
      <c r="H47" s="120"/>
      <c r="I47" s="99" t="s">
        <v>417</v>
      </c>
      <c r="K47" s="138" t="s">
        <v>382</v>
      </c>
      <c r="L47" s="109">
        <v>36000</v>
      </c>
      <c r="M47" s="134"/>
      <c r="N47" s="335" t="s">
        <v>451</v>
      </c>
    </row>
    <row r="48" spans="1:14" ht="15" customHeight="1" x14ac:dyDescent="0.2">
      <c r="A48" s="164" t="s">
        <v>354</v>
      </c>
      <c r="B48" s="169">
        <v>0</v>
      </c>
      <c r="C48" s="179"/>
      <c r="D48" s="163"/>
      <c r="F48" s="101" t="s">
        <v>354</v>
      </c>
      <c r="G48" s="106">
        <v>0</v>
      </c>
      <c r="H48" s="120"/>
      <c r="I48" s="99"/>
      <c r="K48" s="138" t="s">
        <v>354</v>
      </c>
      <c r="L48" s="109">
        <v>0</v>
      </c>
      <c r="M48" s="134"/>
      <c r="N48" s="236"/>
    </row>
    <row r="49" spans="1:14" ht="15" customHeight="1" x14ac:dyDescent="0.2">
      <c r="A49" s="164" t="s">
        <v>274</v>
      </c>
      <c r="B49" s="169">
        <v>0</v>
      </c>
      <c r="C49" s="179"/>
      <c r="D49" s="163"/>
      <c r="F49" s="101" t="s">
        <v>274</v>
      </c>
      <c r="G49" s="106">
        <v>0</v>
      </c>
      <c r="H49" s="120"/>
      <c r="I49" s="99"/>
      <c r="K49" s="138" t="s">
        <v>274</v>
      </c>
      <c r="L49" s="109">
        <v>0</v>
      </c>
      <c r="M49" s="134"/>
      <c r="N49" s="236"/>
    </row>
    <row r="50" spans="1:14" ht="15" customHeight="1" x14ac:dyDescent="0.2">
      <c r="A50" s="164" t="s">
        <v>345</v>
      </c>
      <c r="B50" s="169">
        <v>78910</v>
      </c>
      <c r="C50" s="179"/>
      <c r="D50" s="163" t="s">
        <v>498</v>
      </c>
      <c r="F50" s="101" t="s">
        <v>345</v>
      </c>
      <c r="G50" s="106">
        <v>78910</v>
      </c>
      <c r="H50" s="120"/>
      <c r="I50" s="99" t="s">
        <v>501</v>
      </c>
      <c r="K50" s="138" t="s">
        <v>345</v>
      </c>
      <c r="L50" s="109">
        <v>102493</v>
      </c>
      <c r="M50" s="134"/>
      <c r="N50" s="236" t="s">
        <v>452</v>
      </c>
    </row>
    <row r="51" spans="1:14" ht="15" customHeight="1" x14ac:dyDescent="0.2">
      <c r="A51" s="164" t="s">
        <v>411</v>
      </c>
      <c r="B51" s="169">
        <v>0</v>
      </c>
      <c r="C51" s="179"/>
      <c r="D51" s="163"/>
      <c r="F51" s="101" t="s">
        <v>411</v>
      </c>
      <c r="G51" s="106">
        <v>0</v>
      </c>
      <c r="H51" s="120"/>
      <c r="I51" s="99"/>
      <c r="K51" s="138" t="s">
        <v>411</v>
      </c>
      <c r="L51" s="109">
        <v>0</v>
      </c>
      <c r="M51" s="134"/>
      <c r="N51" s="236"/>
    </row>
    <row r="52" spans="1:14" ht="15" customHeight="1" thickBot="1" x14ac:dyDescent="0.25">
      <c r="A52" s="203" t="s">
        <v>49</v>
      </c>
      <c r="B52" s="183">
        <f>SUM(B14,B30,B43)</f>
        <v>6041788.5</v>
      </c>
      <c r="C52" s="184"/>
      <c r="D52" s="185"/>
      <c r="F52" s="122" t="s">
        <v>49</v>
      </c>
      <c r="G52" s="123">
        <f>SUM(G14,G30,G43)</f>
        <v>6041788.5</v>
      </c>
      <c r="H52" s="194"/>
      <c r="I52" s="150"/>
      <c r="K52" s="142" t="s">
        <v>49</v>
      </c>
      <c r="L52" s="143">
        <f>SUM(L14,L30,L43)</f>
        <v>6005585.722222222</v>
      </c>
      <c r="M52" s="195"/>
      <c r="N52" s="237"/>
    </row>
    <row r="53" spans="1:14" ht="39.75" customHeight="1" x14ac:dyDescent="0.2">
      <c r="A53" s="205" t="s">
        <v>134</v>
      </c>
      <c r="B53" s="204">
        <f>1500000-50000-30000+22975-133000-11393+7001</f>
        <v>1305583</v>
      </c>
      <c r="C53" s="205"/>
      <c r="D53" s="232" t="s">
        <v>502</v>
      </c>
      <c r="F53" s="207" t="s">
        <v>134</v>
      </c>
      <c r="G53" s="208">
        <f>1500000-50000-30000+22975-133000-11393+7001</f>
        <v>1305583</v>
      </c>
      <c r="H53" s="209"/>
      <c r="I53" s="233" t="s">
        <v>502</v>
      </c>
      <c r="K53" s="210" t="s">
        <v>134</v>
      </c>
      <c r="L53" s="211">
        <f>1500000-50000-30000+22975-133000-11393</f>
        <v>1298582</v>
      </c>
      <c r="M53" s="212"/>
      <c r="N53" s="237" t="s">
        <v>454</v>
      </c>
    </row>
    <row r="54" spans="1:14" ht="15" customHeight="1" thickBot="1" x14ac:dyDescent="0.25">
      <c r="A54" s="203" t="s">
        <v>135</v>
      </c>
      <c r="B54" s="183">
        <f>B52+B53</f>
        <v>7347371.5</v>
      </c>
      <c r="C54" s="184"/>
      <c r="D54" s="185"/>
      <c r="F54" s="206" t="s">
        <v>135</v>
      </c>
      <c r="G54" s="123">
        <f>G52+G53</f>
        <v>7347371.5</v>
      </c>
      <c r="H54" s="124"/>
      <c r="I54" s="150"/>
      <c r="K54" s="213" t="s">
        <v>135</v>
      </c>
      <c r="L54" s="143">
        <f>L52+L53</f>
        <v>7304167.722222222</v>
      </c>
      <c r="M54" s="144"/>
      <c r="N54" s="246"/>
    </row>
    <row r="55" spans="1:14" ht="15" customHeight="1" x14ac:dyDescent="0.2">
      <c r="B55" s="117"/>
      <c r="D55" s="117"/>
    </row>
    <row r="56" spans="1:14" ht="15" customHeight="1" x14ac:dyDescent="0.2">
      <c r="B56" s="117">
        <f>B37+B51</f>
        <v>0</v>
      </c>
      <c r="D56" s="126"/>
    </row>
    <row r="57" spans="1:14" ht="15" customHeight="1" x14ac:dyDescent="0.2">
      <c r="B57" s="95">
        <v>46675</v>
      </c>
    </row>
    <row r="58" spans="1:14" ht="15" customHeight="1" x14ac:dyDescent="0.2">
      <c r="B58" s="117">
        <f>B56+B57</f>
        <v>46675</v>
      </c>
    </row>
    <row r="61" spans="1:14" ht="15" customHeight="1" x14ac:dyDescent="0.2">
      <c r="M61" s="117"/>
      <c r="N61" s="248"/>
    </row>
    <row r="62" spans="1:14" ht="15" customHeight="1" x14ac:dyDescent="0.2">
      <c r="M62" s="117"/>
    </row>
    <row r="63" spans="1:14" ht="15" customHeight="1" x14ac:dyDescent="0.2">
      <c r="M63" s="202"/>
    </row>
    <row r="64" spans="1:14" ht="15" customHeight="1" x14ac:dyDescent="0.2">
      <c r="M64" s="202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A08AF-1821-45B0-A7B0-0D518CB790E9}">
  <sheetPr codeName="Sheet4">
    <tabColor theme="9" tint="-0.249977111117893"/>
  </sheetPr>
  <dimension ref="A1:AS66"/>
  <sheetViews>
    <sheetView zoomScaleNormal="100" workbookViewId="0">
      <selection activeCell="D55" sqref="D55"/>
    </sheetView>
  </sheetViews>
  <sheetFormatPr defaultColWidth="8.5546875" defaultRowHeight="15" customHeight="1" x14ac:dyDescent="0.2"/>
  <cols>
    <col min="1" max="1" width="46.6640625" style="95" customWidth="1"/>
    <col min="2" max="2" width="11.5546875" style="95" bestFit="1" customWidth="1"/>
    <col min="3" max="3" width="4.5546875" style="95" customWidth="1"/>
    <col min="4" max="4" width="71.44140625" style="95" bestFit="1" customWidth="1"/>
    <col min="5" max="5" width="9.44140625" style="95" customWidth="1"/>
    <col min="6" max="6" width="51.5546875" style="95" customWidth="1"/>
    <col min="7" max="7" width="11.5546875" style="95" bestFit="1" customWidth="1"/>
    <col min="8" max="8" width="3.44140625" style="95" customWidth="1"/>
    <col min="9" max="9" width="47.44140625" style="95" customWidth="1"/>
    <col min="10" max="10" width="8.5546875" style="95"/>
    <col min="11" max="11" width="48.44140625" style="95" bestFit="1" customWidth="1"/>
    <col min="12" max="12" width="11.5546875" style="95" bestFit="1" customWidth="1"/>
    <col min="13" max="13" width="4.5546875" style="95" customWidth="1"/>
    <col min="14" max="14" width="55.5546875" style="247" customWidth="1"/>
    <col min="15" max="40" width="8.5546875" style="95"/>
    <col min="41" max="41" width="9.44140625" style="95" bestFit="1" customWidth="1"/>
    <col min="42" max="16384" width="8.5546875" style="95"/>
  </cols>
  <sheetData>
    <row r="1" spans="1:45" ht="15" customHeight="1" x14ac:dyDescent="0.2">
      <c r="A1" s="155" t="s">
        <v>263</v>
      </c>
      <c r="B1" s="156">
        <f>860047-833000</f>
        <v>27047</v>
      </c>
      <c r="C1" s="156"/>
      <c r="D1" s="157"/>
      <c r="E1" s="125"/>
      <c r="F1" s="145" t="s">
        <v>263</v>
      </c>
      <c r="G1" s="152">
        <f>972500-868000</f>
        <v>104500</v>
      </c>
      <c r="H1" s="152"/>
      <c r="I1" s="153"/>
      <c r="K1" s="147" t="s">
        <v>263</v>
      </c>
      <c r="L1" s="154">
        <f>862000-916290</f>
        <v>-54290</v>
      </c>
      <c r="M1" s="154"/>
      <c r="N1" s="235"/>
    </row>
    <row r="2" spans="1:45" ht="15" customHeight="1" x14ac:dyDescent="0.2">
      <c r="A2" s="158" t="s">
        <v>50</v>
      </c>
      <c r="B2" s="159"/>
      <c r="C2" s="159"/>
      <c r="D2" s="160"/>
      <c r="F2" s="146" t="s">
        <v>107</v>
      </c>
      <c r="G2" s="98"/>
      <c r="H2" s="98"/>
      <c r="I2" s="99">
        <f>1002532-971000</f>
        <v>31532</v>
      </c>
      <c r="K2" s="148" t="s">
        <v>108</v>
      </c>
      <c r="L2" s="129"/>
      <c r="M2" s="129"/>
      <c r="N2" s="236"/>
    </row>
    <row r="3" spans="1:45" ht="15" customHeight="1" x14ac:dyDescent="0.2">
      <c r="A3" s="161" t="s">
        <v>267</v>
      </c>
      <c r="B3" s="162"/>
      <c r="C3" s="162"/>
      <c r="D3" s="163"/>
      <c r="E3" s="125"/>
      <c r="F3" s="100" t="s">
        <v>267</v>
      </c>
      <c r="G3" s="98"/>
      <c r="H3" s="106"/>
      <c r="I3" s="99"/>
      <c r="K3" s="131" t="s">
        <v>267</v>
      </c>
      <c r="L3" s="129"/>
      <c r="M3" s="129"/>
      <c r="N3" s="236"/>
    </row>
    <row r="4" spans="1:45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237"/>
    </row>
    <row r="5" spans="1:45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238" t="s">
        <v>6</v>
      </c>
    </row>
    <row r="6" spans="1:45" ht="15" customHeight="1" x14ac:dyDescent="0.2">
      <c r="A6" s="164" t="s">
        <v>3</v>
      </c>
      <c r="B6" s="169">
        <v>4400000</v>
      </c>
      <c r="C6" s="162"/>
      <c r="D6" s="165"/>
      <c r="F6" s="101" t="s">
        <v>3</v>
      </c>
      <c r="G6" s="106">
        <v>4400000</v>
      </c>
      <c r="H6" s="98"/>
      <c r="I6" s="102"/>
      <c r="K6" s="138" t="s">
        <v>3</v>
      </c>
      <c r="L6" s="109">
        <v>4400000</v>
      </c>
      <c r="M6" s="129"/>
      <c r="N6" s="237"/>
    </row>
    <row r="7" spans="1:45" ht="15" customHeight="1" x14ac:dyDescent="0.2">
      <c r="A7" s="164" t="s">
        <v>34</v>
      </c>
      <c r="B7" s="169">
        <f>B33+B46</f>
        <v>0</v>
      </c>
      <c r="C7" s="162"/>
      <c r="D7" s="170"/>
      <c r="F7" s="101" t="s">
        <v>34</v>
      </c>
      <c r="G7" s="106">
        <v>0</v>
      </c>
      <c r="H7" s="98"/>
      <c r="I7" s="106"/>
      <c r="K7" s="138" t="s">
        <v>34</v>
      </c>
      <c r="L7" s="109">
        <v>0</v>
      </c>
      <c r="M7" s="129"/>
      <c r="N7" s="139"/>
    </row>
    <row r="8" spans="1:45" ht="33" customHeight="1" x14ac:dyDescent="0.2">
      <c r="A8" s="164" t="s">
        <v>36</v>
      </c>
      <c r="B8" s="169">
        <f>-26912-525</f>
        <v>-27437</v>
      </c>
      <c r="C8" s="162"/>
      <c r="D8" s="170" t="s">
        <v>550</v>
      </c>
      <c r="F8" s="101" t="s">
        <v>36</v>
      </c>
      <c r="G8" s="106">
        <f>-26912-525</f>
        <v>-27437</v>
      </c>
      <c r="H8" s="98"/>
      <c r="I8" s="107" t="s">
        <v>554</v>
      </c>
      <c r="K8" s="138" t="s">
        <v>36</v>
      </c>
      <c r="L8" s="109">
        <v>0</v>
      </c>
      <c r="M8" s="129"/>
      <c r="N8" s="236" t="s">
        <v>545</v>
      </c>
    </row>
    <row r="9" spans="1:45" ht="15" customHeight="1" x14ac:dyDescent="0.2">
      <c r="A9" s="164" t="s">
        <v>37</v>
      </c>
      <c r="B9" s="169"/>
      <c r="C9" s="162"/>
      <c r="D9" s="171" t="s">
        <v>61</v>
      </c>
      <c r="E9" s="117"/>
      <c r="F9" s="101" t="s">
        <v>37</v>
      </c>
      <c r="G9" s="106"/>
      <c r="H9" s="98"/>
      <c r="I9" s="112"/>
      <c r="K9" s="138" t="s">
        <v>37</v>
      </c>
      <c r="L9" s="109">
        <v>0</v>
      </c>
      <c r="M9" s="129"/>
      <c r="N9" s="236" t="s">
        <v>61</v>
      </c>
    </row>
    <row r="10" spans="1:45" ht="15" customHeight="1" x14ac:dyDescent="0.2">
      <c r="A10" s="164" t="s">
        <v>523</v>
      </c>
      <c r="B10" s="169">
        <v>-242286</v>
      </c>
      <c r="C10" s="162"/>
      <c r="D10" s="171"/>
      <c r="E10" s="117"/>
      <c r="F10" s="101" t="s">
        <v>523</v>
      </c>
      <c r="G10" s="106">
        <v>-242286</v>
      </c>
      <c r="H10" s="98"/>
      <c r="I10" s="112"/>
      <c r="K10" s="138" t="s">
        <v>523</v>
      </c>
      <c r="L10" s="109">
        <v>-186700</v>
      </c>
      <c r="M10" s="129"/>
      <c r="N10" s="236"/>
    </row>
    <row r="11" spans="1:45" ht="15" customHeight="1" x14ac:dyDescent="0.2">
      <c r="A11" s="164" t="s">
        <v>375</v>
      </c>
      <c r="B11" s="169"/>
      <c r="C11" s="162"/>
      <c r="D11" s="171"/>
      <c r="E11" s="117"/>
      <c r="F11" s="101" t="s">
        <v>375</v>
      </c>
      <c r="G11" s="106"/>
      <c r="H11" s="98"/>
      <c r="I11" s="112"/>
      <c r="K11" s="138" t="s">
        <v>375</v>
      </c>
      <c r="L11" s="109"/>
      <c r="M11" s="129"/>
      <c r="N11" s="236"/>
    </row>
    <row r="12" spans="1:45" ht="15" customHeight="1" x14ac:dyDescent="0.2">
      <c r="A12" s="164" t="s">
        <v>175</v>
      </c>
      <c r="B12" s="169">
        <f>-'System Conservation'!AK2</f>
        <v>-428196</v>
      </c>
      <c r="C12" s="162"/>
      <c r="D12" s="163"/>
      <c r="E12" s="117"/>
      <c r="F12" s="101" t="s">
        <v>175</v>
      </c>
      <c r="G12" s="106">
        <f>B12</f>
        <v>-428196</v>
      </c>
      <c r="H12" s="98"/>
      <c r="I12" s="99"/>
      <c r="K12" s="138" t="s">
        <v>175</v>
      </c>
      <c r="L12" s="109">
        <f>G12</f>
        <v>-428196</v>
      </c>
      <c r="M12" s="129"/>
      <c r="N12" s="239"/>
    </row>
    <row r="13" spans="1:45" ht="15" customHeight="1" x14ac:dyDescent="0.2">
      <c r="A13" s="164" t="s">
        <v>105</v>
      </c>
      <c r="B13" s="177">
        <v>-145</v>
      </c>
      <c r="C13" s="162"/>
      <c r="D13" s="171"/>
      <c r="F13" s="101" t="s">
        <v>105</v>
      </c>
      <c r="G13" s="110">
        <v>-145</v>
      </c>
      <c r="H13" s="98"/>
      <c r="I13" s="99"/>
      <c r="K13" s="138" t="s">
        <v>105</v>
      </c>
      <c r="L13" s="111">
        <v>-145</v>
      </c>
      <c r="M13" s="129"/>
      <c r="N13" s="236"/>
      <c r="AO13" s="117"/>
      <c r="AP13" s="117"/>
      <c r="AQ13" s="117"/>
      <c r="AS13" s="117"/>
    </row>
    <row r="14" spans="1:45" ht="15" customHeight="1" x14ac:dyDescent="0.2">
      <c r="A14" s="164" t="s">
        <v>41</v>
      </c>
      <c r="B14" s="169">
        <f>SUM(B6:B13)</f>
        <v>3701936</v>
      </c>
      <c r="C14" s="162"/>
      <c r="D14" s="171"/>
      <c r="F14" s="101" t="s">
        <v>41</v>
      </c>
      <c r="G14" s="106">
        <f>SUM(G6:G13)</f>
        <v>3701936</v>
      </c>
      <c r="H14" s="98"/>
      <c r="I14" s="112"/>
      <c r="K14" s="138" t="s">
        <v>41</v>
      </c>
      <c r="L14" s="109">
        <f>SUM(L6:L13)</f>
        <v>3784959</v>
      </c>
      <c r="M14" s="129"/>
      <c r="N14" s="139"/>
    </row>
    <row r="15" spans="1:45" ht="15" customHeight="1" x14ac:dyDescent="0.2">
      <c r="A15" s="172" t="s">
        <v>40</v>
      </c>
      <c r="B15" s="173">
        <f>B14+B16</f>
        <v>3701936</v>
      </c>
      <c r="C15" s="162"/>
      <c r="D15" s="174"/>
      <c r="F15" s="113" t="s">
        <v>40</v>
      </c>
      <c r="G15" s="114">
        <f>G14+G16</f>
        <v>3701936</v>
      </c>
      <c r="H15" s="106"/>
      <c r="I15" s="149"/>
      <c r="K15" s="141" t="s">
        <v>40</v>
      </c>
      <c r="L15" s="116">
        <f>L14+L16</f>
        <v>3784959</v>
      </c>
      <c r="M15" s="129"/>
      <c r="N15" s="240"/>
      <c r="AO15" s="117"/>
      <c r="AP15" s="117"/>
      <c r="AQ15" s="117"/>
      <c r="AS15" s="117"/>
    </row>
    <row r="16" spans="1:45" ht="15" customHeight="1" x14ac:dyDescent="0.2">
      <c r="A16" s="164" t="s">
        <v>17</v>
      </c>
      <c r="B16" s="169">
        <v>0</v>
      </c>
      <c r="C16" s="162"/>
      <c r="D16" s="175"/>
      <c r="F16" s="101" t="s">
        <v>17</v>
      </c>
      <c r="G16" s="106">
        <v>0</v>
      </c>
      <c r="H16" s="98"/>
      <c r="I16" s="115"/>
      <c r="K16" s="138" t="s">
        <v>17</v>
      </c>
      <c r="L16" s="109">
        <v>0</v>
      </c>
      <c r="M16" s="109"/>
      <c r="N16" s="240"/>
    </row>
    <row r="17" spans="1:43" ht="15" customHeight="1" x14ac:dyDescent="0.2">
      <c r="A17" s="164" t="s">
        <v>18</v>
      </c>
      <c r="B17" s="169">
        <v>0</v>
      </c>
      <c r="C17" s="162"/>
      <c r="D17" s="175"/>
      <c r="F17" s="101" t="s">
        <v>18</v>
      </c>
      <c r="G17" s="106">
        <v>0</v>
      </c>
      <c r="H17" s="98"/>
      <c r="I17" s="115"/>
      <c r="K17" s="138" t="s">
        <v>18</v>
      </c>
      <c r="L17" s="109">
        <v>0</v>
      </c>
      <c r="M17" s="129"/>
      <c r="N17" s="240"/>
      <c r="AO17" s="117"/>
      <c r="AP17" s="117"/>
      <c r="AQ17" s="117"/>
    </row>
    <row r="18" spans="1:43" ht="15" customHeight="1" x14ac:dyDescent="0.2">
      <c r="A18" s="164" t="s">
        <v>506</v>
      </c>
      <c r="B18" s="169"/>
      <c r="C18" s="162"/>
      <c r="D18" s="175"/>
      <c r="F18" s="101" t="s">
        <v>506</v>
      </c>
      <c r="G18" s="106"/>
      <c r="H18" s="98"/>
      <c r="I18" s="115"/>
      <c r="K18" s="138" t="s">
        <v>506</v>
      </c>
      <c r="L18" s="109"/>
      <c r="M18" s="129"/>
      <c r="N18" s="240"/>
      <c r="AO18" s="117"/>
      <c r="AP18" s="117"/>
      <c r="AQ18" s="117"/>
    </row>
    <row r="19" spans="1:43" ht="15" customHeight="1" x14ac:dyDescent="0.2">
      <c r="A19" s="164" t="s">
        <v>483</v>
      </c>
      <c r="B19" s="169"/>
      <c r="C19" s="162"/>
      <c r="D19" s="176"/>
      <c r="F19" s="101" t="s">
        <v>483</v>
      </c>
      <c r="G19" s="106"/>
      <c r="H19" s="98"/>
      <c r="I19" s="118"/>
      <c r="K19" s="138" t="s">
        <v>483</v>
      </c>
      <c r="L19" s="109"/>
      <c r="M19" s="129"/>
      <c r="N19" s="241"/>
    </row>
    <row r="20" spans="1:43" ht="15" customHeight="1" x14ac:dyDescent="0.2">
      <c r="A20" s="166" t="s">
        <v>1</v>
      </c>
      <c r="B20" s="167" t="s">
        <v>5</v>
      </c>
      <c r="C20" s="162"/>
      <c r="D20" s="168" t="s">
        <v>6</v>
      </c>
      <c r="F20" s="103" t="s">
        <v>1</v>
      </c>
      <c r="G20" s="104" t="s">
        <v>5</v>
      </c>
      <c r="H20" s="98"/>
      <c r="I20" s="105" t="s">
        <v>6</v>
      </c>
      <c r="K20" s="135" t="s">
        <v>1</v>
      </c>
      <c r="L20" s="136" t="s">
        <v>5</v>
      </c>
      <c r="M20" s="129"/>
      <c r="N20" s="238" t="s">
        <v>6</v>
      </c>
      <c r="AO20" s="117"/>
      <c r="AP20" s="117"/>
      <c r="AQ20" s="117"/>
    </row>
    <row r="21" spans="1:43" ht="15" customHeight="1" x14ac:dyDescent="0.2">
      <c r="A21" s="164" t="s">
        <v>3</v>
      </c>
      <c r="B21" s="169">
        <v>2800000</v>
      </c>
      <c r="C21" s="162"/>
      <c r="D21" s="163"/>
      <c r="F21" s="101" t="s">
        <v>3</v>
      </c>
      <c r="G21" s="106">
        <v>2800000</v>
      </c>
      <c r="H21" s="98"/>
      <c r="I21" s="99"/>
      <c r="K21" s="138" t="s">
        <v>3</v>
      </c>
      <c r="L21" s="109">
        <v>2800000</v>
      </c>
      <c r="M21" s="129"/>
      <c r="N21" s="236"/>
      <c r="AO21" s="117"/>
      <c r="AP21" s="117"/>
      <c r="AQ21" s="117"/>
    </row>
    <row r="22" spans="1:43" ht="15" customHeight="1" x14ac:dyDescent="0.2">
      <c r="A22" s="164" t="s">
        <v>132</v>
      </c>
      <c r="B22" s="169">
        <v>0</v>
      </c>
      <c r="C22" s="162"/>
      <c r="D22" s="163"/>
      <c r="F22" s="101" t="s">
        <v>132</v>
      </c>
      <c r="G22" s="106">
        <v>0</v>
      </c>
      <c r="H22" s="98"/>
      <c r="I22" s="99"/>
      <c r="K22" s="138" t="s">
        <v>132</v>
      </c>
      <c r="L22" s="109">
        <v>0</v>
      </c>
      <c r="M22" s="129"/>
      <c r="N22" s="236"/>
    </row>
    <row r="23" spans="1:43" ht="15" customHeight="1" x14ac:dyDescent="0.2">
      <c r="A23" s="164" t="s">
        <v>35</v>
      </c>
      <c r="B23" s="169">
        <v>0</v>
      </c>
      <c r="C23" s="162"/>
      <c r="D23" s="163" t="s">
        <v>551</v>
      </c>
      <c r="F23" s="101" t="s">
        <v>35</v>
      </c>
      <c r="G23" s="106">
        <v>0</v>
      </c>
      <c r="H23" s="98"/>
      <c r="I23" s="99" t="s">
        <v>555</v>
      </c>
      <c r="K23" s="138" t="s">
        <v>35</v>
      </c>
      <c r="L23" s="109">
        <v>0</v>
      </c>
      <c r="M23" s="129"/>
      <c r="N23" s="236" t="s">
        <v>542</v>
      </c>
    </row>
    <row r="24" spans="1:43" ht="15" customHeight="1" x14ac:dyDescent="0.2">
      <c r="A24" s="164" t="s">
        <v>111</v>
      </c>
      <c r="B24" s="169">
        <v>0</v>
      </c>
      <c r="C24" s="162"/>
      <c r="D24" s="163"/>
      <c r="F24" s="101" t="s">
        <v>111</v>
      </c>
      <c r="G24" s="106">
        <v>0</v>
      </c>
      <c r="H24" s="98"/>
      <c r="I24" s="99">
        <f>20934-(1124/0.9)</f>
        <v>19685.111111111109</v>
      </c>
      <c r="K24" s="138" t="s">
        <v>111</v>
      </c>
      <c r="L24" s="266">
        <v>0</v>
      </c>
      <c r="M24" s="129"/>
      <c r="N24" s="265"/>
    </row>
    <row r="25" spans="1:43" ht="15" customHeight="1" x14ac:dyDescent="0.2">
      <c r="A25" s="164" t="s">
        <v>21</v>
      </c>
      <c r="B25" s="169">
        <v>0</v>
      </c>
      <c r="C25" s="162"/>
      <c r="D25" s="163"/>
      <c r="F25" s="101" t="s">
        <v>21</v>
      </c>
      <c r="G25" s="106">
        <v>0</v>
      </c>
      <c r="H25" s="98"/>
      <c r="I25" s="99"/>
      <c r="K25" s="138" t="s">
        <v>21</v>
      </c>
      <c r="L25" s="109">
        <v>0</v>
      </c>
      <c r="M25" s="129"/>
      <c r="N25" s="236"/>
    </row>
    <row r="26" spans="1:43" ht="15" customHeight="1" x14ac:dyDescent="0.2">
      <c r="A26" s="164" t="s">
        <v>103</v>
      </c>
      <c r="B26" s="169">
        <v>-3201</v>
      </c>
      <c r="C26" s="162"/>
      <c r="D26" s="163"/>
      <c r="F26" s="101" t="s">
        <v>103</v>
      </c>
      <c r="G26" s="106">
        <f>B26</f>
        <v>-3201</v>
      </c>
      <c r="H26" s="98"/>
      <c r="I26" s="99"/>
      <c r="K26" s="138" t="s">
        <v>103</v>
      </c>
      <c r="L26" s="109">
        <f>B26</f>
        <v>-3201</v>
      </c>
      <c r="M26" s="129"/>
      <c r="N26" s="236"/>
    </row>
    <row r="27" spans="1:43" ht="15" customHeight="1" x14ac:dyDescent="0.2">
      <c r="A27" s="164" t="s">
        <v>113</v>
      </c>
      <c r="B27" s="169">
        <f>-SUM('System Conservation'!U2+'System Conservation'!AC2)</f>
        <v>-360444.5</v>
      </c>
      <c r="C27" s="162"/>
      <c r="D27" s="163" t="s">
        <v>343</v>
      </c>
      <c r="F27" s="101" t="s">
        <v>113</v>
      </c>
      <c r="G27" s="106">
        <f>B27</f>
        <v>-360444.5</v>
      </c>
      <c r="H27" s="98"/>
      <c r="I27" s="99" t="s">
        <v>343</v>
      </c>
      <c r="K27" s="138" t="s">
        <v>113</v>
      </c>
      <c r="L27" s="109">
        <f>B27</f>
        <v>-360444.5</v>
      </c>
      <c r="M27" s="129"/>
      <c r="N27" s="236" t="s">
        <v>343</v>
      </c>
    </row>
    <row r="28" spans="1:43" s="356" customFormat="1" ht="15" customHeight="1" x14ac:dyDescent="0.25">
      <c r="A28" s="352" t="s">
        <v>261</v>
      </c>
      <c r="B28" s="353">
        <f>SUM(B21:B27)</f>
        <v>2436354.5</v>
      </c>
      <c r="C28" s="354"/>
      <c r="D28" s="355"/>
      <c r="F28" s="357" t="s">
        <v>261</v>
      </c>
      <c r="G28" s="358">
        <f>SUM(G21:G27)</f>
        <v>2436354.5</v>
      </c>
      <c r="H28" s="359"/>
      <c r="I28" s="360"/>
      <c r="K28" s="361" t="s">
        <v>261</v>
      </c>
      <c r="L28" s="362">
        <f>SUM(L21:L27)</f>
        <v>2436354.5</v>
      </c>
      <c r="M28" s="363"/>
      <c r="N28" s="364"/>
    </row>
    <row r="29" spans="1:43" ht="34.200000000000003" x14ac:dyDescent="0.2">
      <c r="A29" s="164" t="s">
        <v>110</v>
      </c>
      <c r="B29" s="169">
        <v>-192000</v>
      </c>
      <c r="C29" s="162"/>
      <c r="D29" s="232" t="s">
        <v>557</v>
      </c>
      <c r="F29" s="101" t="s">
        <v>110</v>
      </c>
      <c r="G29" s="106">
        <v>-192000</v>
      </c>
      <c r="H29" s="98"/>
      <c r="I29" s="336" t="s">
        <v>557</v>
      </c>
      <c r="K29" s="138" t="s">
        <v>110</v>
      </c>
      <c r="L29" s="109">
        <v>-192000</v>
      </c>
      <c r="M29" s="129"/>
      <c r="N29" s="236" t="s">
        <v>539</v>
      </c>
    </row>
    <row r="30" spans="1:43" ht="33" customHeight="1" x14ac:dyDescent="0.2">
      <c r="A30" s="164" t="s">
        <v>129</v>
      </c>
      <c r="B30" s="169">
        <v>20943</v>
      </c>
      <c r="C30" s="162"/>
      <c r="D30" s="232" t="s">
        <v>556</v>
      </c>
      <c r="F30" s="101" t="s">
        <v>129</v>
      </c>
      <c r="G30" s="106">
        <f>20934+9</f>
        <v>20943</v>
      </c>
      <c r="H30" s="98"/>
      <c r="I30" s="336" t="s">
        <v>556</v>
      </c>
      <c r="K30" s="138" t="s">
        <v>129</v>
      </c>
      <c r="L30" s="109">
        <v>40000</v>
      </c>
      <c r="M30" s="129"/>
      <c r="N30" s="236" t="s">
        <v>538</v>
      </c>
    </row>
    <row r="31" spans="1:43" ht="15" customHeight="1" x14ac:dyDescent="0.2">
      <c r="A31" s="164" t="s">
        <v>133</v>
      </c>
      <c r="B31" s="169">
        <v>-320000</v>
      </c>
      <c r="C31" s="162"/>
      <c r="D31" s="163" t="s">
        <v>150</v>
      </c>
      <c r="F31" s="101" t="s">
        <v>133</v>
      </c>
      <c r="G31" s="106">
        <v>-320000</v>
      </c>
      <c r="H31" s="98"/>
      <c r="I31" s="99" t="s">
        <v>150</v>
      </c>
      <c r="K31" s="138" t="s">
        <v>133</v>
      </c>
      <c r="L31" s="109">
        <v>-320000</v>
      </c>
      <c r="M31" s="129"/>
      <c r="N31" s="236"/>
    </row>
    <row r="32" spans="1:43" s="513" customFormat="1" ht="15" customHeight="1" x14ac:dyDescent="0.25">
      <c r="A32" s="372" t="s">
        <v>409</v>
      </c>
      <c r="B32" s="228">
        <f>SUM(B28:B31)</f>
        <v>1945297.5</v>
      </c>
      <c r="C32" s="511"/>
      <c r="D32" s="512"/>
      <c r="F32" s="393" t="s">
        <v>409</v>
      </c>
      <c r="G32" s="231">
        <f>SUM(G28:G31)</f>
        <v>1945297.5</v>
      </c>
      <c r="H32" s="514"/>
      <c r="I32" s="515"/>
      <c r="K32" s="395" t="s">
        <v>409</v>
      </c>
      <c r="L32" s="229">
        <f>SUM(L28:L31)</f>
        <v>1964354.5</v>
      </c>
      <c r="M32" s="516"/>
      <c r="N32" s="517"/>
    </row>
    <row r="33" spans="1:14" ht="15" customHeight="1" x14ac:dyDescent="0.2">
      <c r="A33" s="164" t="s">
        <v>17</v>
      </c>
      <c r="B33" s="169">
        <v>0</v>
      </c>
      <c r="C33" s="162"/>
      <c r="D33" s="163"/>
      <c r="F33" s="101" t="s">
        <v>17</v>
      </c>
      <c r="G33" s="106">
        <v>0</v>
      </c>
      <c r="H33" s="98"/>
      <c r="I33" s="99"/>
      <c r="K33" s="138" t="s">
        <v>17</v>
      </c>
      <c r="L33" s="109">
        <v>0</v>
      </c>
      <c r="M33" s="129"/>
      <c r="N33" s="236"/>
    </row>
    <row r="34" spans="1:14" ht="15" customHeight="1" x14ac:dyDescent="0.2">
      <c r="A34" s="164" t="s">
        <v>18</v>
      </c>
      <c r="B34" s="169">
        <v>0</v>
      </c>
      <c r="C34" s="162"/>
      <c r="D34" s="163"/>
      <c r="F34" s="101" t="s">
        <v>18</v>
      </c>
      <c r="G34" s="106">
        <v>0</v>
      </c>
      <c r="H34" s="98"/>
      <c r="I34" s="99"/>
      <c r="K34" s="138" t="s">
        <v>18</v>
      </c>
      <c r="L34" s="109">
        <v>0</v>
      </c>
      <c r="M34" s="129"/>
      <c r="N34" s="236"/>
    </row>
    <row r="35" spans="1:14" ht="15" customHeight="1" x14ac:dyDescent="0.2">
      <c r="A35" s="351"/>
      <c r="B35" s="169"/>
      <c r="C35" s="162"/>
      <c r="D35" s="168"/>
      <c r="F35" s="101"/>
      <c r="G35" s="106"/>
      <c r="H35" s="98"/>
      <c r="I35" s="105"/>
      <c r="K35" s="138" t="s">
        <v>505</v>
      </c>
      <c r="L35" s="109">
        <v>0</v>
      </c>
      <c r="M35" s="129"/>
      <c r="N35" s="236"/>
    </row>
    <row r="36" spans="1:14" ht="15" customHeight="1" x14ac:dyDescent="0.2">
      <c r="A36" s="166" t="s">
        <v>2</v>
      </c>
      <c r="B36" s="169"/>
      <c r="C36" s="162"/>
      <c r="D36" s="168" t="s">
        <v>6</v>
      </c>
      <c r="F36" s="103" t="s">
        <v>2</v>
      </c>
      <c r="G36" s="106"/>
      <c r="H36" s="98"/>
      <c r="I36" s="105" t="s">
        <v>6</v>
      </c>
      <c r="K36" s="135" t="s">
        <v>2</v>
      </c>
      <c r="L36" s="109"/>
      <c r="M36" s="129"/>
      <c r="N36" s="238" t="s">
        <v>6</v>
      </c>
    </row>
    <row r="37" spans="1:14" ht="15" customHeight="1" x14ac:dyDescent="0.2">
      <c r="A37" s="164" t="s">
        <v>3</v>
      </c>
      <c r="B37" s="169">
        <v>300000</v>
      </c>
      <c r="C37" s="162"/>
      <c r="D37" s="163"/>
      <c r="F37" s="101" t="s">
        <v>3</v>
      </c>
      <c r="G37" s="106">
        <v>300000</v>
      </c>
      <c r="H37" s="98"/>
      <c r="I37" s="99"/>
      <c r="K37" s="138" t="s">
        <v>3</v>
      </c>
      <c r="L37" s="109">
        <v>300000</v>
      </c>
      <c r="M37" s="129"/>
      <c r="N37" s="139"/>
    </row>
    <row r="38" spans="1:14" ht="15" customHeight="1" x14ac:dyDescent="0.2">
      <c r="A38" s="164" t="s">
        <v>264</v>
      </c>
      <c r="B38" s="169">
        <v>-13000</v>
      </c>
      <c r="C38" s="162"/>
      <c r="D38" s="163"/>
      <c r="F38" s="101" t="s">
        <v>264</v>
      </c>
      <c r="G38" s="106">
        <v>-13000</v>
      </c>
      <c r="H38" s="98"/>
      <c r="I38" s="99"/>
      <c r="K38" s="138" t="s">
        <v>264</v>
      </c>
      <c r="L38" s="109">
        <v>-13000</v>
      </c>
      <c r="M38" s="129"/>
      <c r="N38" s="236"/>
    </row>
    <row r="39" spans="1:14" ht="25.5" customHeight="1" x14ac:dyDescent="0.2">
      <c r="A39" s="164" t="s">
        <v>115</v>
      </c>
      <c r="B39" s="169">
        <f>0</f>
        <v>0</v>
      </c>
      <c r="C39" s="162"/>
      <c r="D39" s="178" t="s">
        <v>503</v>
      </c>
      <c r="F39" s="101" t="s">
        <v>359</v>
      </c>
      <c r="G39" s="106">
        <v>0</v>
      </c>
      <c r="H39" s="98"/>
      <c r="I39" s="119"/>
      <c r="K39" s="138" t="s">
        <v>359</v>
      </c>
      <c r="L39" s="109">
        <v>0</v>
      </c>
      <c r="M39" s="129"/>
      <c r="N39" s="140"/>
    </row>
    <row r="40" spans="1:14" ht="25.5" customHeight="1" x14ac:dyDescent="0.2">
      <c r="A40" s="164" t="s">
        <v>428</v>
      </c>
      <c r="B40" s="169">
        <v>-87000</v>
      </c>
      <c r="C40" s="162"/>
      <c r="D40" s="178" t="s">
        <v>558</v>
      </c>
      <c r="F40" s="101" t="s">
        <v>428</v>
      </c>
      <c r="G40" s="106">
        <v>-87000</v>
      </c>
      <c r="H40" s="98"/>
      <c r="I40" s="119" t="s">
        <v>558</v>
      </c>
      <c r="K40" s="138" t="s">
        <v>428</v>
      </c>
      <c r="L40" s="109">
        <v>-93000</v>
      </c>
      <c r="M40" s="129"/>
      <c r="N40" s="140" t="s">
        <v>546</v>
      </c>
    </row>
    <row r="41" spans="1:14" ht="21.75" customHeight="1" x14ac:dyDescent="0.2">
      <c r="A41" s="164" t="s">
        <v>53</v>
      </c>
      <c r="B41" s="177">
        <v>0</v>
      </c>
      <c r="C41" s="162"/>
      <c r="D41" s="171" t="s">
        <v>406</v>
      </c>
      <c r="F41" s="101" t="s">
        <v>53</v>
      </c>
      <c r="G41" s="110">
        <v>0</v>
      </c>
      <c r="H41" s="98"/>
      <c r="I41" s="112"/>
      <c r="K41" s="138" t="s">
        <v>53</v>
      </c>
      <c r="L41" s="111">
        <v>0</v>
      </c>
      <c r="M41" s="129"/>
      <c r="N41" s="139"/>
    </row>
    <row r="42" spans="1:14" ht="15" customHeight="1" x14ac:dyDescent="0.2">
      <c r="A42" s="372" t="s">
        <v>45</v>
      </c>
      <c r="B42" s="392">
        <f>SUM(B37:B41)</f>
        <v>200000</v>
      </c>
      <c r="C42" s="162"/>
      <c r="D42" s="171"/>
      <c r="F42" s="393" t="s">
        <v>45</v>
      </c>
      <c r="G42" s="394">
        <f>G37+G39+G41+G38+G40</f>
        <v>200000</v>
      </c>
      <c r="H42" s="98"/>
      <c r="I42" s="112"/>
      <c r="K42" s="395" t="s">
        <v>45</v>
      </c>
      <c r="L42" s="334">
        <f>L37+L39+L41+L38+L40</f>
        <v>194000</v>
      </c>
      <c r="M42" s="129"/>
      <c r="N42" s="139"/>
    </row>
    <row r="43" spans="1:14" ht="15" customHeight="1" x14ac:dyDescent="0.2">
      <c r="A43" s="164" t="s">
        <v>104</v>
      </c>
      <c r="B43" s="169">
        <v>-13000</v>
      </c>
      <c r="C43" s="162"/>
      <c r="D43" s="178" t="s">
        <v>172</v>
      </c>
      <c r="F43" s="101" t="s">
        <v>265</v>
      </c>
      <c r="G43" s="106">
        <v>0</v>
      </c>
      <c r="H43" s="98"/>
      <c r="I43" s="112" t="s">
        <v>172</v>
      </c>
      <c r="K43" s="138" t="s">
        <v>265</v>
      </c>
      <c r="L43" s="109">
        <v>0</v>
      </c>
      <c r="M43" s="129"/>
      <c r="N43" s="140"/>
    </row>
    <row r="44" spans="1:14" ht="15" customHeight="1" x14ac:dyDescent="0.2">
      <c r="A44" s="164" t="s">
        <v>110</v>
      </c>
      <c r="B44" s="169">
        <v>0</v>
      </c>
      <c r="C44" s="162"/>
      <c r="D44" s="180" t="s">
        <v>252</v>
      </c>
      <c r="F44" s="101" t="s">
        <v>44</v>
      </c>
      <c r="G44" s="106">
        <v>0</v>
      </c>
      <c r="H44" s="98"/>
      <c r="I44" s="112" t="s">
        <v>171</v>
      </c>
      <c r="K44" s="138" t="s">
        <v>44</v>
      </c>
      <c r="L44" s="109">
        <v>0</v>
      </c>
      <c r="M44" s="129"/>
      <c r="N44" s="139" t="s">
        <v>252</v>
      </c>
    </row>
    <row r="45" spans="1:14" ht="15" customHeight="1" x14ac:dyDescent="0.2">
      <c r="A45" s="352" t="s">
        <v>275</v>
      </c>
      <c r="B45" s="353">
        <f>B42+B50+B51</f>
        <v>200000</v>
      </c>
      <c r="C45" s="179"/>
      <c r="D45" s="178" t="s">
        <v>559</v>
      </c>
      <c r="F45" s="113" t="s">
        <v>46</v>
      </c>
      <c r="G45" s="114">
        <f>G42+G50+G51</f>
        <v>200000</v>
      </c>
      <c r="H45" s="120"/>
      <c r="I45" s="119" t="s">
        <v>559</v>
      </c>
      <c r="K45" s="141" t="s">
        <v>46</v>
      </c>
      <c r="L45" s="111">
        <f>L42+L50+L51+L53</f>
        <v>194000</v>
      </c>
      <c r="M45" s="134"/>
      <c r="N45" s="335" t="s">
        <v>547</v>
      </c>
    </row>
    <row r="46" spans="1:14" ht="15" customHeight="1" x14ac:dyDescent="0.2">
      <c r="A46" s="431" t="s">
        <v>455</v>
      </c>
      <c r="B46" s="169">
        <v>0</v>
      </c>
      <c r="C46" s="179"/>
      <c r="D46" s="180"/>
      <c r="F46" s="101" t="s">
        <v>17</v>
      </c>
      <c r="G46" s="106">
        <v>0</v>
      </c>
      <c r="H46" s="120"/>
      <c r="I46" s="108"/>
      <c r="K46" s="138" t="s">
        <v>17</v>
      </c>
      <c r="L46" s="109">
        <v>0</v>
      </c>
      <c r="M46" s="134"/>
      <c r="N46" s="245"/>
    </row>
    <row r="47" spans="1:14" ht="15" customHeight="1" x14ac:dyDescent="0.2">
      <c r="A47" s="431" t="s">
        <v>456</v>
      </c>
      <c r="B47" s="169">
        <v>0</v>
      </c>
      <c r="C47" s="179"/>
      <c r="D47" s="163"/>
      <c r="F47" s="101" t="s">
        <v>18</v>
      </c>
      <c r="G47" s="106">
        <v>0</v>
      </c>
      <c r="H47" s="120"/>
      <c r="I47" s="99"/>
      <c r="K47" s="138" t="s">
        <v>18</v>
      </c>
      <c r="L47" s="109">
        <v>0</v>
      </c>
      <c r="M47" s="134"/>
      <c r="N47" s="236"/>
    </row>
    <row r="48" spans="1:14" ht="15" customHeight="1" x14ac:dyDescent="0.2">
      <c r="A48" s="431" t="s">
        <v>457</v>
      </c>
      <c r="B48" s="169">
        <v>0</v>
      </c>
      <c r="C48" s="162"/>
      <c r="D48" s="178"/>
      <c r="F48" s="121" t="s">
        <v>47</v>
      </c>
      <c r="G48" s="106">
        <v>0</v>
      </c>
      <c r="H48" s="98"/>
      <c r="I48" s="119"/>
      <c r="K48" s="133" t="s">
        <v>47</v>
      </c>
      <c r="L48" s="109">
        <v>0</v>
      </c>
      <c r="M48" s="129"/>
      <c r="N48" s="244"/>
    </row>
    <row r="49" spans="1:14" ht="11.4" x14ac:dyDescent="0.2">
      <c r="A49" s="431" t="s">
        <v>357</v>
      </c>
      <c r="B49" s="169">
        <v>35000</v>
      </c>
      <c r="C49" s="179"/>
      <c r="D49" s="163"/>
      <c r="F49" s="101" t="s">
        <v>54</v>
      </c>
      <c r="G49" s="106">
        <v>35000</v>
      </c>
      <c r="H49" s="120"/>
      <c r="I49" s="99" t="s">
        <v>417</v>
      </c>
      <c r="K49" s="138" t="s">
        <v>382</v>
      </c>
      <c r="L49" s="109">
        <v>35000</v>
      </c>
      <c r="M49" s="134"/>
      <c r="N49" s="236" t="s">
        <v>517</v>
      </c>
    </row>
    <row r="50" spans="1:14" ht="15" customHeight="1" x14ac:dyDescent="0.2">
      <c r="A50" s="164" t="s">
        <v>354</v>
      </c>
      <c r="B50" s="169">
        <v>0</v>
      </c>
      <c r="C50" s="179"/>
      <c r="D50" s="163"/>
      <c r="F50" s="101" t="s">
        <v>354</v>
      </c>
      <c r="G50" s="106">
        <v>0</v>
      </c>
      <c r="H50" s="120"/>
      <c r="I50" s="99"/>
      <c r="K50" s="138" t="s">
        <v>354</v>
      </c>
      <c r="L50" s="109">
        <v>0</v>
      </c>
      <c r="M50" s="134"/>
      <c r="N50" s="236" t="s">
        <v>412</v>
      </c>
    </row>
    <row r="51" spans="1:14" ht="15" customHeight="1" x14ac:dyDescent="0.2">
      <c r="A51" s="164" t="s">
        <v>274</v>
      </c>
      <c r="B51" s="169">
        <v>0</v>
      </c>
      <c r="C51" s="179"/>
      <c r="D51" s="163"/>
      <c r="F51" s="101" t="s">
        <v>274</v>
      </c>
      <c r="G51" s="106">
        <v>0</v>
      </c>
      <c r="H51" s="120"/>
      <c r="I51" s="99"/>
      <c r="K51" s="138" t="s">
        <v>274</v>
      </c>
      <c r="L51" s="109">
        <v>0</v>
      </c>
      <c r="M51" s="134"/>
      <c r="N51" s="236" t="s">
        <v>410</v>
      </c>
    </row>
    <row r="52" spans="1:14" ht="22.8" x14ac:dyDescent="0.2">
      <c r="A52" s="164" t="s">
        <v>345</v>
      </c>
      <c r="B52" s="169">
        <v>53222</v>
      </c>
      <c r="C52" s="179"/>
      <c r="D52" s="163" t="s">
        <v>564</v>
      </c>
      <c r="F52" s="101" t="s">
        <v>345</v>
      </c>
      <c r="G52" s="106">
        <v>53222</v>
      </c>
      <c r="H52" s="120"/>
      <c r="I52" s="336" t="s">
        <v>560</v>
      </c>
      <c r="K52" s="138" t="s">
        <v>345</v>
      </c>
      <c r="L52" s="109">
        <v>30937</v>
      </c>
      <c r="M52" s="134"/>
      <c r="N52" s="236" t="s">
        <v>540</v>
      </c>
    </row>
    <row r="53" spans="1:14" ht="15" customHeight="1" x14ac:dyDescent="0.2">
      <c r="A53" s="164"/>
      <c r="B53" s="169"/>
      <c r="C53" s="179"/>
      <c r="D53" s="163"/>
      <c r="F53" s="101" t="s">
        <v>411</v>
      </c>
      <c r="G53" s="106">
        <v>0</v>
      </c>
      <c r="H53" s="120"/>
      <c r="I53" s="99"/>
      <c r="K53" s="138" t="s">
        <v>411</v>
      </c>
      <c r="L53" s="109">
        <v>0</v>
      </c>
      <c r="M53" s="134"/>
      <c r="N53" s="236"/>
    </row>
    <row r="54" spans="1:14" ht="15" customHeight="1" thickBot="1" x14ac:dyDescent="0.25">
      <c r="A54" s="203" t="s">
        <v>49</v>
      </c>
      <c r="B54" s="183">
        <f>SUM(B15,B32,B45)</f>
        <v>5847233.5</v>
      </c>
      <c r="C54" s="184"/>
      <c r="D54" s="193">
        <f>B54-50000</f>
        <v>5797233.5</v>
      </c>
      <c r="F54" s="122" t="s">
        <v>49</v>
      </c>
      <c r="G54" s="123">
        <f>SUM(G15,G32,G45)</f>
        <v>5847233.5</v>
      </c>
      <c r="H54" s="194"/>
      <c r="I54" s="150"/>
      <c r="K54" s="142" t="s">
        <v>49</v>
      </c>
      <c r="L54" s="143">
        <f>SUM(L15,L32,L45)</f>
        <v>5943313.5</v>
      </c>
      <c r="M54" s="195"/>
      <c r="N54" s="246"/>
    </row>
    <row r="55" spans="1:14" ht="39.75" customHeight="1" x14ac:dyDescent="0.2">
      <c r="A55" s="205" t="s">
        <v>134</v>
      </c>
      <c r="B55" s="204">
        <f>1500000-50000-30000-120596-80573+21646</f>
        <v>1240477</v>
      </c>
      <c r="C55" s="205"/>
      <c r="D55" s="232" t="s">
        <v>516</v>
      </c>
      <c r="F55" s="207" t="s">
        <v>134</v>
      </c>
      <c r="G55" s="208">
        <f>1500000-50000-30000-120596-80573+21646</f>
        <v>1240477</v>
      </c>
      <c r="H55" s="209"/>
      <c r="I55" s="233" t="s">
        <v>516</v>
      </c>
      <c r="K55" s="210" t="s">
        <v>134</v>
      </c>
      <c r="L55" s="211">
        <f>1500000-50000-30000-120596-80573+21646</f>
        <v>1240477</v>
      </c>
      <c r="M55" s="212"/>
      <c r="N55" s="234" t="s">
        <v>516</v>
      </c>
    </row>
    <row r="56" spans="1:14" ht="15" customHeight="1" thickBot="1" x14ac:dyDescent="0.25">
      <c r="A56" s="203" t="s">
        <v>135</v>
      </c>
      <c r="B56" s="183">
        <f>B54+B55</f>
        <v>7087710.5</v>
      </c>
      <c r="C56" s="184"/>
      <c r="D56" s="185"/>
      <c r="F56" s="206" t="s">
        <v>135</v>
      </c>
      <c r="G56" s="123">
        <f>G54+G55</f>
        <v>7087710.5</v>
      </c>
      <c r="H56" s="124"/>
      <c r="I56" s="150"/>
      <c r="K56" s="213" t="s">
        <v>135</v>
      </c>
      <c r="L56" s="143">
        <f>L54+L55</f>
        <v>7183790.5</v>
      </c>
      <c r="M56" s="144"/>
      <c r="N56" s="246"/>
    </row>
    <row r="57" spans="1:14" ht="15" customHeight="1" x14ac:dyDescent="0.2">
      <c r="B57" s="117"/>
      <c r="D57" s="117"/>
    </row>
    <row r="58" spans="1:14" ht="15" customHeight="1" x14ac:dyDescent="0.25">
      <c r="A58" s="544" t="s">
        <v>528</v>
      </c>
      <c r="D58" s="126"/>
    </row>
    <row r="63" spans="1:14" ht="15" customHeight="1" x14ac:dyDescent="0.2">
      <c r="M63" s="117"/>
      <c r="N63" s="248"/>
    </row>
    <row r="64" spans="1:14" ht="15" customHeight="1" x14ac:dyDescent="0.2">
      <c r="M64" s="117"/>
    </row>
    <row r="65" spans="13:13" ht="15" customHeight="1" x14ac:dyDescent="0.2">
      <c r="M65" s="202"/>
    </row>
    <row r="66" spans="13:13" ht="15" customHeight="1" x14ac:dyDescent="0.2">
      <c r="M66" s="202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N48"/>
  <sheetViews>
    <sheetView workbookViewId="0">
      <selection activeCell="F37" sqref="F37"/>
    </sheetView>
  </sheetViews>
  <sheetFormatPr defaultColWidth="8.5546875" defaultRowHeight="15" customHeight="1" x14ac:dyDescent="0.2"/>
  <cols>
    <col min="1" max="1" width="45.5546875" style="95" customWidth="1"/>
    <col min="2" max="2" width="11.5546875" style="95" bestFit="1" customWidth="1"/>
    <col min="3" max="3" width="4.5546875" style="95" customWidth="1"/>
    <col min="4" max="4" width="61.5546875" style="95" customWidth="1"/>
    <col min="5" max="5" width="8.5546875" style="95" customWidth="1"/>
    <col min="6" max="6" width="45.5546875" style="95" customWidth="1"/>
    <col min="7" max="7" width="11.5546875" style="95" bestFit="1" customWidth="1"/>
    <col min="8" max="8" width="4.5546875" style="95" customWidth="1"/>
    <col min="9" max="9" width="61.5546875" style="95" customWidth="1"/>
    <col min="10" max="10" width="8.5546875" style="95" customWidth="1"/>
    <col min="11" max="11" width="45.5546875" style="95" customWidth="1"/>
    <col min="12" max="12" width="11.5546875" style="95" bestFit="1" customWidth="1"/>
    <col min="13" max="13" width="4.5546875" style="95" customWidth="1"/>
    <col min="14" max="14" width="61.5546875" style="95" customWidth="1"/>
    <col min="15" max="16384" width="8.5546875" style="95"/>
  </cols>
  <sheetData>
    <row r="1" spans="1:14" ht="15" customHeight="1" x14ac:dyDescent="0.2">
      <c r="A1" s="155" t="s">
        <v>60</v>
      </c>
      <c r="B1" s="156"/>
      <c r="C1" s="156"/>
      <c r="D1" s="157"/>
      <c r="F1" s="145" t="s">
        <v>60</v>
      </c>
      <c r="G1" s="96"/>
      <c r="H1" s="96"/>
      <c r="I1" s="97"/>
      <c r="K1" s="147" t="s">
        <v>60</v>
      </c>
      <c r="L1" s="127"/>
      <c r="M1" s="127"/>
      <c r="N1" s="128"/>
    </row>
    <row r="2" spans="1:14" ht="15" customHeight="1" x14ac:dyDescent="0.2">
      <c r="A2" s="158" t="s">
        <v>50</v>
      </c>
      <c r="B2" s="159"/>
      <c r="C2" s="159"/>
      <c r="D2" s="160"/>
      <c r="F2" s="146" t="s">
        <v>107</v>
      </c>
      <c r="G2" s="98"/>
      <c r="H2" s="98"/>
      <c r="I2" s="99"/>
      <c r="K2" s="148" t="s">
        <v>108</v>
      </c>
      <c r="L2" s="129"/>
      <c r="M2" s="129"/>
      <c r="N2" s="130"/>
    </row>
    <row r="3" spans="1:14" ht="15" customHeight="1" x14ac:dyDescent="0.2">
      <c r="A3" s="161" t="s">
        <v>93</v>
      </c>
      <c r="B3" s="162"/>
      <c r="C3" s="162"/>
      <c r="D3" s="163"/>
      <c r="F3" s="100" t="str">
        <f>A3</f>
        <v>Projected Operating Condition - Normal/ICS Surplus</v>
      </c>
      <c r="G3" s="98"/>
      <c r="H3" s="98"/>
      <c r="I3" s="99"/>
      <c r="K3" s="131" t="str">
        <f>A3</f>
        <v>Projected Operating Condition - Normal/ICS Surplus</v>
      </c>
      <c r="L3" s="129"/>
      <c r="M3" s="129"/>
      <c r="N3" s="130"/>
    </row>
    <row r="4" spans="1:14" ht="15" customHeight="1" x14ac:dyDescent="0.2">
      <c r="A4" s="164"/>
      <c r="B4" s="162"/>
      <c r="C4" s="162"/>
      <c r="D4" s="165"/>
      <c r="F4" s="101"/>
      <c r="G4" s="98"/>
      <c r="H4" s="98"/>
      <c r="I4" s="102"/>
      <c r="K4" s="138"/>
      <c r="L4" s="129"/>
      <c r="M4" s="129"/>
      <c r="N4" s="132"/>
    </row>
    <row r="5" spans="1:14" ht="15" customHeight="1" x14ac:dyDescent="0.2">
      <c r="A5" s="166" t="s">
        <v>0</v>
      </c>
      <c r="B5" s="167" t="s">
        <v>5</v>
      </c>
      <c r="C5" s="162"/>
      <c r="D5" s="168" t="s">
        <v>6</v>
      </c>
      <c r="F5" s="103" t="s">
        <v>0</v>
      </c>
      <c r="G5" s="104" t="s">
        <v>5</v>
      </c>
      <c r="H5" s="98"/>
      <c r="I5" s="105" t="s">
        <v>6</v>
      </c>
      <c r="K5" s="135" t="s">
        <v>0</v>
      </c>
      <c r="L5" s="136" t="s">
        <v>5</v>
      </c>
      <c r="M5" s="129"/>
      <c r="N5" s="137" t="s">
        <v>6</v>
      </c>
    </row>
    <row r="6" spans="1:14" ht="15" customHeight="1" x14ac:dyDescent="0.2">
      <c r="A6" s="164" t="s">
        <v>3</v>
      </c>
      <c r="B6" s="169">
        <v>4400000</v>
      </c>
      <c r="C6" s="162"/>
      <c r="D6" s="165"/>
      <c r="F6" s="101" t="str">
        <f>A6</f>
        <v>Basic apportionment</v>
      </c>
      <c r="G6" s="106">
        <f>B6</f>
        <v>4400000</v>
      </c>
      <c r="H6" s="98"/>
      <c r="I6" s="102"/>
      <c r="K6" s="138" t="str">
        <f>A6</f>
        <v>Basic apportionment</v>
      </c>
      <c r="L6" s="109">
        <f>B6</f>
        <v>4400000</v>
      </c>
      <c r="M6" s="129"/>
      <c r="N6" s="132"/>
    </row>
    <row r="7" spans="1:14" ht="15" customHeight="1" x14ac:dyDescent="0.2">
      <c r="A7" s="164" t="s">
        <v>34</v>
      </c>
      <c r="B7" s="169">
        <f>B38</f>
        <v>0</v>
      </c>
      <c r="C7" s="162"/>
      <c r="D7" s="170"/>
      <c r="F7" s="101" t="str">
        <f t="shared" ref="F7:F43" si="0">A7</f>
        <v>MWD - Storage of NV unused</v>
      </c>
      <c r="G7" s="106">
        <f t="shared" ref="G7:G41" si="1">B7</f>
        <v>0</v>
      </c>
      <c r="H7" s="98"/>
      <c r="I7" s="102"/>
      <c r="K7" s="138" t="str">
        <f t="shared" ref="K7:K43" si="2">A7</f>
        <v>MWD - Storage of NV unused</v>
      </c>
      <c r="L7" s="109">
        <f t="shared" ref="L7:L41" si="3">B7</f>
        <v>0</v>
      </c>
      <c r="M7" s="129"/>
      <c r="N7" s="132"/>
    </row>
    <row r="8" spans="1:14" ht="15" customHeight="1" x14ac:dyDescent="0.2">
      <c r="A8" s="164" t="s">
        <v>36</v>
      </c>
      <c r="B8" s="169">
        <f>-400000-B9</f>
        <v>-398421</v>
      </c>
      <c r="C8" s="162"/>
      <c r="D8" s="171" t="s">
        <v>121</v>
      </c>
      <c r="F8" s="101" t="str">
        <f t="shared" si="0"/>
        <v>MWD - ICS (delivery or creation)</v>
      </c>
      <c r="G8" s="106">
        <v>-398421</v>
      </c>
      <c r="H8" s="98"/>
      <c r="I8" s="102" t="s">
        <v>117</v>
      </c>
      <c r="K8" s="138" t="str">
        <f t="shared" si="2"/>
        <v>MWD - ICS (delivery or creation)</v>
      </c>
      <c r="L8" s="109">
        <f>B8</f>
        <v>-398421</v>
      </c>
      <c r="M8" s="129"/>
      <c r="N8" s="132" t="s">
        <v>117</v>
      </c>
    </row>
    <row r="9" spans="1:14" ht="15" customHeight="1" x14ac:dyDescent="0.2">
      <c r="A9" s="164" t="s">
        <v>37</v>
      </c>
      <c r="B9" s="169">
        <v>-1579</v>
      </c>
      <c r="C9" s="162"/>
      <c r="D9" s="171" t="s">
        <v>96</v>
      </c>
      <c r="F9" s="101" t="str">
        <f t="shared" si="0"/>
        <v>IID - ICS (delivery or creation)</v>
      </c>
      <c r="G9" s="106">
        <f t="shared" si="1"/>
        <v>-1579</v>
      </c>
      <c r="H9" s="98"/>
      <c r="I9" s="102" t="str">
        <f t="shared" ref="I9:I41" si="4">D9</f>
        <v>Based on projected space in IID ICS Bank</v>
      </c>
      <c r="K9" s="138" t="str">
        <f t="shared" si="2"/>
        <v>IID - ICS (delivery or creation)</v>
      </c>
      <c r="L9" s="109">
        <f t="shared" si="3"/>
        <v>-1579</v>
      </c>
      <c r="M9" s="129"/>
      <c r="N9" s="132" t="s">
        <v>96</v>
      </c>
    </row>
    <row r="10" spans="1:14" ht="15" customHeight="1" x14ac:dyDescent="0.2">
      <c r="A10" s="164" t="s">
        <v>109</v>
      </c>
      <c r="B10" s="169">
        <v>0</v>
      </c>
      <c r="C10" s="162"/>
      <c r="D10" s="171" t="s">
        <v>118</v>
      </c>
      <c r="F10" s="101" t="str">
        <f t="shared" si="0"/>
        <v>Estimated Water Left in Mead</v>
      </c>
      <c r="G10" s="106">
        <f t="shared" si="1"/>
        <v>0</v>
      </c>
      <c r="H10" s="98"/>
      <c r="I10" s="102" t="s">
        <v>116</v>
      </c>
      <c r="K10" s="138" t="str">
        <f t="shared" si="2"/>
        <v>Estimated Water Left in Mead</v>
      </c>
      <c r="L10" s="109">
        <f>B10</f>
        <v>0</v>
      </c>
      <c r="M10" s="129"/>
      <c r="N10" s="132" t="s">
        <v>116</v>
      </c>
    </row>
    <row r="11" spans="1:14" ht="15" customHeight="1" x14ac:dyDescent="0.2">
      <c r="A11" s="164" t="s">
        <v>101</v>
      </c>
      <c r="B11" s="177">
        <v>-3879</v>
      </c>
      <c r="C11" s="162"/>
      <c r="D11" s="189" t="s">
        <v>125</v>
      </c>
      <c r="F11" s="101" t="str">
        <f t="shared" si="0"/>
        <v>PSCP (Coachella, Needles, and Bard)</v>
      </c>
      <c r="G11" s="110">
        <f t="shared" si="1"/>
        <v>-3879</v>
      </c>
      <c r="H11" s="98"/>
      <c r="I11" s="102"/>
      <c r="K11" s="138" t="str">
        <f t="shared" si="2"/>
        <v>PSCP (Coachella, Needles, and Bard)</v>
      </c>
      <c r="L11" s="111">
        <f>B11</f>
        <v>-3879</v>
      </c>
      <c r="M11" s="129"/>
      <c r="N11" s="132"/>
    </row>
    <row r="12" spans="1:14" ht="15" customHeight="1" x14ac:dyDescent="0.2">
      <c r="A12" s="164" t="s">
        <v>41</v>
      </c>
      <c r="B12" s="169">
        <f>SUM(B6:B11)</f>
        <v>3996121</v>
      </c>
      <c r="C12" s="162"/>
      <c r="D12" s="190" t="s">
        <v>123</v>
      </c>
      <c r="F12" s="101" t="str">
        <f t="shared" si="0"/>
        <v>Estimated CA adjusted apportionment</v>
      </c>
      <c r="G12" s="106">
        <f>SUM(G6:G11)</f>
        <v>3996121</v>
      </c>
      <c r="H12" s="98"/>
      <c r="I12" s="102"/>
      <c r="K12" s="138" t="str">
        <f t="shared" si="2"/>
        <v>Estimated CA adjusted apportionment</v>
      </c>
      <c r="L12" s="109">
        <f>SUM(L6:L11)</f>
        <v>3996121</v>
      </c>
      <c r="M12" s="129"/>
      <c r="N12" s="132"/>
    </row>
    <row r="13" spans="1:14" ht="15" customHeight="1" x14ac:dyDescent="0.25">
      <c r="A13" s="172" t="s">
        <v>40</v>
      </c>
      <c r="B13" s="173">
        <f>B12+B14</f>
        <v>3996121</v>
      </c>
      <c r="C13" s="162"/>
      <c r="D13" s="191" t="s">
        <v>122</v>
      </c>
      <c r="F13" s="113" t="str">
        <f t="shared" si="0"/>
        <v>Modeled CA state total</v>
      </c>
      <c r="G13" s="114">
        <f>G12+G14</f>
        <v>3996121</v>
      </c>
      <c r="H13" s="98"/>
      <c r="I13" s="102"/>
      <c r="K13" s="141" t="str">
        <f t="shared" si="2"/>
        <v>Modeled CA state total</v>
      </c>
      <c r="L13" s="116">
        <f>L12+L14</f>
        <v>3996121</v>
      </c>
      <c r="M13" s="129"/>
      <c r="N13" s="132"/>
    </row>
    <row r="14" spans="1:14" ht="15" customHeight="1" x14ac:dyDescent="0.2">
      <c r="A14" s="164" t="s">
        <v>17</v>
      </c>
      <c r="B14" s="169">
        <v>0</v>
      </c>
      <c r="C14" s="162"/>
      <c r="D14" s="192" t="s">
        <v>124</v>
      </c>
      <c r="E14" s="117"/>
      <c r="F14" s="101" t="str">
        <f t="shared" si="0"/>
        <v xml:space="preserve">     Unused - interstate banking</v>
      </c>
      <c r="G14" s="106">
        <f t="shared" si="1"/>
        <v>0</v>
      </c>
      <c r="H14" s="98"/>
      <c r="I14" s="102"/>
      <c r="K14" s="138" t="str">
        <f t="shared" si="2"/>
        <v xml:space="preserve">     Unused - interstate banking</v>
      </c>
      <c r="L14" s="109">
        <f t="shared" si="3"/>
        <v>0</v>
      </c>
      <c r="M14" s="129"/>
      <c r="N14" s="132"/>
    </row>
    <row r="15" spans="1:14" ht="15" customHeight="1" x14ac:dyDescent="0.2">
      <c r="A15" s="164" t="s">
        <v>18</v>
      </c>
      <c r="B15" s="169">
        <v>0</v>
      </c>
      <c r="C15" s="162"/>
      <c r="D15" s="169">
        <v>3930505</v>
      </c>
      <c r="F15" s="101" t="str">
        <f t="shared" si="0"/>
        <v xml:space="preserve">     Unused - left in system</v>
      </c>
      <c r="G15" s="106">
        <f t="shared" si="1"/>
        <v>0</v>
      </c>
      <c r="H15" s="98"/>
      <c r="I15" s="102"/>
      <c r="K15" s="138" t="str">
        <f t="shared" si="2"/>
        <v xml:space="preserve">     Unused - left in system</v>
      </c>
      <c r="L15" s="109">
        <f t="shared" si="3"/>
        <v>0</v>
      </c>
      <c r="M15" s="129"/>
      <c r="N15" s="132"/>
    </row>
    <row r="16" spans="1:14" ht="15" customHeight="1" x14ac:dyDescent="0.2">
      <c r="A16" s="164"/>
      <c r="B16" s="169"/>
      <c r="C16" s="162"/>
      <c r="D16" s="176"/>
      <c r="F16" s="101"/>
      <c r="G16" s="106"/>
      <c r="H16" s="98"/>
      <c r="I16" s="102"/>
      <c r="K16" s="138"/>
      <c r="L16" s="109"/>
      <c r="M16" s="129"/>
      <c r="N16" s="132"/>
    </row>
    <row r="17" spans="1:14" ht="15" customHeight="1" x14ac:dyDescent="0.25">
      <c r="A17" s="166" t="s">
        <v>1</v>
      </c>
      <c r="B17" s="167" t="s">
        <v>5</v>
      </c>
      <c r="C17" s="162"/>
      <c r="D17" s="168" t="s">
        <v>6</v>
      </c>
      <c r="F17" s="103" t="str">
        <f t="shared" si="0"/>
        <v>Arizona</v>
      </c>
      <c r="G17" s="104" t="str">
        <f t="shared" si="1"/>
        <v>Values in AF</v>
      </c>
      <c r="H17" s="98"/>
      <c r="I17" s="186" t="str">
        <f t="shared" si="4"/>
        <v>Notes</v>
      </c>
      <c r="K17" s="135" t="str">
        <f t="shared" si="2"/>
        <v>Arizona</v>
      </c>
      <c r="L17" s="187" t="str">
        <f t="shared" si="3"/>
        <v>Values in AF</v>
      </c>
      <c r="M17" s="129"/>
      <c r="N17" s="188" t="str">
        <f t="shared" ref="N17:N41" si="5">D17</f>
        <v>Notes</v>
      </c>
    </row>
    <row r="18" spans="1:14" ht="15" customHeight="1" x14ac:dyDescent="0.2">
      <c r="A18" s="164" t="s">
        <v>3</v>
      </c>
      <c r="B18" s="169">
        <v>2800000</v>
      </c>
      <c r="C18" s="162"/>
      <c r="D18" s="163"/>
      <c r="F18" s="101" t="str">
        <f t="shared" si="0"/>
        <v>Basic apportionment</v>
      </c>
      <c r="G18" s="106">
        <f t="shared" si="1"/>
        <v>2800000</v>
      </c>
      <c r="H18" s="98"/>
      <c r="I18" s="102"/>
      <c r="K18" s="138" t="str">
        <f t="shared" si="2"/>
        <v>Basic apportionment</v>
      </c>
      <c r="L18" s="109">
        <f t="shared" si="3"/>
        <v>2800000</v>
      </c>
      <c r="M18" s="129"/>
      <c r="N18" s="132"/>
    </row>
    <row r="19" spans="1:14" ht="15" customHeight="1" x14ac:dyDescent="0.2">
      <c r="A19" s="164" t="s">
        <v>67</v>
      </c>
      <c r="B19" s="169">
        <v>0</v>
      </c>
      <c r="C19" s="162"/>
      <c r="D19" s="163"/>
      <c r="F19" s="101" t="str">
        <f t="shared" si="0"/>
        <v>Shortage volume</v>
      </c>
      <c r="G19" s="106">
        <f t="shared" si="1"/>
        <v>0</v>
      </c>
      <c r="H19" s="98"/>
      <c r="I19" s="102"/>
      <c r="K19" s="138" t="str">
        <f t="shared" si="2"/>
        <v>Shortage volume</v>
      </c>
      <c r="L19" s="109">
        <f t="shared" si="3"/>
        <v>0</v>
      </c>
      <c r="M19" s="129"/>
      <c r="N19" s="132"/>
    </row>
    <row r="20" spans="1:14" ht="15" customHeight="1" x14ac:dyDescent="0.2">
      <c r="A20" s="164" t="s">
        <v>35</v>
      </c>
      <c r="B20" s="169">
        <v>0</v>
      </c>
      <c r="C20" s="162"/>
      <c r="D20" s="163"/>
      <c r="F20" s="101" t="str">
        <f t="shared" si="0"/>
        <v>CAP - Storage of NV unused</v>
      </c>
      <c r="G20" s="106">
        <f t="shared" si="1"/>
        <v>0</v>
      </c>
      <c r="H20" s="98"/>
      <c r="I20" s="102"/>
      <c r="K20" s="138" t="str">
        <f t="shared" si="2"/>
        <v>CAP - Storage of NV unused</v>
      </c>
      <c r="L20" s="109">
        <f t="shared" si="3"/>
        <v>0</v>
      </c>
      <c r="M20" s="129"/>
      <c r="N20" s="132"/>
    </row>
    <row r="21" spans="1:14" ht="15" customHeight="1" x14ac:dyDescent="0.2">
      <c r="A21" s="164" t="s">
        <v>111</v>
      </c>
      <c r="B21" s="169">
        <v>-150000</v>
      </c>
      <c r="C21" s="162"/>
      <c r="D21" s="163" t="s">
        <v>119</v>
      </c>
      <c r="F21" s="101" t="str">
        <f t="shared" si="0"/>
        <v>AZ - ICS (delivery or creation)</v>
      </c>
      <c r="G21" s="106">
        <f t="shared" si="1"/>
        <v>-150000</v>
      </c>
      <c r="H21" s="98"/>
      <c r="I21" s="102" t="str">
        <f t="shared" si="4"/>
        <v>CAP annual diversion of 1.439 maf</v>
      </c>
      <c r="K21" s="138" t="str">
        <f t="shared" si="2"/>
        <v>AZ - ICS (delivery or creation)</v>
      </c>
      <c r="L21" s="109">
        <f t="shared" si="3"/>
        <v>-150000</v>
      </c>
      <c r="M21" s="129"/>
      <c r="N21" s="132" t="str">
        <f t="shared" si="5"/>
        <v>CAP annual diversion of 1.439 maf</v>
      </c>
    </row>
    <row r="22" spans="1:14" ht="15" customHeight="1" x14ac:dyDescent="0.2">
      <c r="A22" s="164" t="s">
        <v>21</v>
      </c>
      <c r="B22" s="169">
        <v>0</v>
      </c>
      <c r="C22" s="162"/>
      <c r="D22" s="163"/>
      <c r="F22" s="101" t="str">
        <f t="shared" si="0"/>
        <v>Estimated payback(s)</v>
      </c>
      <c r="G22" s="106">
        <f t="shared" si="1"/>
        <v>0</v>
      </c>
      <c r="H22" s="98"/>
      <c r="I22" s="102"/>
      <c r="K22" s="138" t="str">
        <f t="shared" si="2"/>
        <v>Estimated payback(s)</v>
      </c>
      <c r="L22" s="109">
        <f t="shared" si="3"/>
        <v>0</v>
      </c>
      <c r="M22" s="129"/>
      <c r="N22" s="132"/>
    </row>
    <row r="23" spans="1:14" ht="15" customHeight="1" x14ac:dyDescent="0.2">
      <c r="A23" s="164" t="s">
        <v>106</v>
      </c>
      <c r="B23" s="169">
        <v>-41328</v>
      </c>
      <c r="C23" s="162"/>
      <c r="D23" s="163"/>
      <c r="F23" s="101" t="str">
        <f t="shared" si="0"/>
        <v>PSCP (BHC 1&amp;2, FMYN, CRIT)</v>
      </c>
      <c r="G23" s="106">
        <f t="shared" si="1"/>
        <v>-41328</v>
      </c>
      <c r="H23" s="98"/>
      <c r="I23" s="102"/>
      <c r="K23" s="138" t="str">
        <f t="shared" si="2"/>
        <v>PSCP (BHC 1&amp;2, FMYN, CRIT)</v>
      </c>
      <c r="L23" s="109">
        <f t="shared" si="3"/>
        <v>-41328</v>
      </c>
      <c r="M23" s="129"/>
      <c r="N23" s="132"/>
    </row>
    <row r="24" spans="1:14" ht="15" customHeight="1" x14ac:dyDescent="0.2">
      <c r="A24" s="172" t="s">
        <v>42</v>
      </c>
      <c r="B24" s="173">
        <f>SUM(B18:B23)</f>
        <v>2608672</v>
      </c>
      <c r="C24" s="162"/>
      <c r="D24" s="163"/>
      <c r="F24" s="101" t="str">
        <f t="shared" si="0"/>
        <v>Estimated AZ adjusted apportionment</v>
      </c>
      <c r="G24" s="110">
        <f t="shared" si="1"/>
        <v>2608672</v>
      </c>
      <c r="H24" s="98"/>
      <c r="I24" s="102"/>
      <c r="K24" s="138" t="str">
        <f t="shared" si="2"/>
        <v>Estimated AZ adjusted apportionment</v>
      </c>
      <c r="L24" s="111">
        <f t="shared" si="3"/>
        <v>2608672</v>
      </c>
      <c r="M24" s="129"/>
      <c r="N24" s="132"/>
    </row>
    <row r="25" spans="1:14" ht="15" customHeight="1" x14ac:dyDescent="0.2">
      <c r="A25" s="164" t="s">
        <v>86</v>
      </c>
      <c r="B25" s="169">
        <v>-88842</v>
      </c>
      <c r="C25" s="162"/>
      <c r="D25" s="171"/>
      <c r="F25" s="101" t="str">
        <f t="shared" si="0"/>
        <v>CAP - Voluntary Conservation</v>
      </c>
      <c r="G25" s="106">
        <f t="shared" si="1"/>
        <v>-88842</v>
      </c>
      <c r="H25" s="98"/>
      <c r="I25" s="102"/>
      <c r="K25" s="138" t="str">
        <f t="shared" si="2"/>
        <v>CAP - Voluntary Conservation</v>
      </c>
      <c r="L25" s="109">
        <f t="shared" si="3"/>
        <v>-88842</v>
      </c>
      <c r="M25" s="129"/>
      <c r="N25" s="132"/>
    </row>
    <row r="26" spans="1:14" ht="15" customHeight="1" x14ac:dyDescent="0.2">
      <c r="A26" s="164" t="s">
        <v>43</v>
      </c>
      <c r="B26" s="177">
        <f>SUM(B24:B25)</f>
        <v>2519830</v>
      </c>
      <c r="C26" s="162"/>
      <c r="D26" s="192" t="s">
        <v>124</v>
      </c>
      <c r="F26" s="113" t="str">
        <f t="shared" si="0"/>
        <v>Modeled AZ state total</v>
      </c>
      <c r="G26" s="114">
        <f t="shared" si="1"/>
        <v>2519830</v>
      </c>
      <c r="H26" s="98"/>
      <c r="I26" s="102"/>
      <c r="K26" s="141" t="str">
        <f t="shared" si="2"/>
        <v>Modeled AZ state total</v>
      </c>
      <c r="L26" s="109">
        <f t="shared" si="3"/>
        <v>2519830</v>
      </c>
      <c r="M26" s="129"/>
      <c r="N26" s="132"/>
    </row>
    <row r="27" spans="1:14" ht="15" customHeight="1" x14ac:dyDescent="0.2">
      <c r="A27" s="164" t="s">
        <v>17</v>
      </c>
      <c r="B27" s="169">
        <v>0</v>
      </c>
      <c r="C27" s="162"/>
      <c r="D27" s="163">
        <v>2519830</v>
      </c>
      <c r="F27" s="101" t="str">
        <f t="shared" si="0"/>
        <v xml:space="preserve">     Unused - interstate banking</v>
      </c>
      <c r="G27" s="106">
        <f t="shared" si="1"/>
        <v>0</v>
      </c>
      <c r="H27" s="98"/>
      <c r="I27" s="102"/>
      <c r="K27" s="138" t="str">
        <f t="shared" si="2"/>
        <v xml:space="preserve">     Unused - interstate banking</v>
      </c>
      <c r="L27" s="109">
        <f t="shared" si="3"/>
        <v>0</v>
      </c>
      <c r="M27" s="129"/>
      <c r="N27" s="132"/>
    </row>
    <row r="28" spans="1:14" ht="15" customHeight="1" x14ac:dyDescent="0.2">
      <c r="A28" s="164" t="s">
        <v>18</v>
      </c>
      <c r="B28" s="169">
        <f>-B25-B27</f>
        <v>88842</v>
      </c>
      <c r="C28" s="162"/>
      <c r="D28" s="171">
        <f>B25-1426</f>
        <v>-90268</v>
      </c>
      <c r="F28" s="101" t="str">
        <f t="shared" si="0"/>
        <v xml:space="preserve">     Unused - left in system</v>
      </c>
      <c r="G28" s="106">
        <f t="shared" si="1"/>
        <v>88842</v>
      </c>
      <c r="H28" s="98"/>
      <c r="I28" s="102"/>
      <c r="K28" s="138" t="str">
        <f t="shared" si="2"/>
        <v xml:space="preserve">     Unused - left in system</v>
      </c>
      <c r="L28" s="109">
        <f t="shared" si="3"/>
        <v>88842</v>
      </c>
      <c r="M28" s="129"/>
      <c r="N28" s="132"/>
    </row>
    <row r="29" spans="1:14" ht="15" customHeight="1" x14ac:dyDescent="0.2">
      <c r="A29" s="164"/>
      <c r="B29" s="169"/>
      <c r="C29" s="162"/>
      <c r="D29" s="168"/>
      <c r="F29" s="101"/>
      <c r="G29" s="106"/>
      <c r="H29" s="98"/>
      <c r="I29" s="102"/>
      <c r="K29" s="138"/>
      <c r="L29" s="109"/>
      <c r="M29" s="129"/>
      <c r="N29" s="132"/>
    </row>
    <row r="30" spans="1:14" ht="15" customHeight="1" x14ac:dyDescent="0.25">
      <c r="A30" s="166" t="s">
        <v>2</v>
      </c>
      <c r="B30" s="167" t="s">
        <v>5</v>
      </c>
      <c r="C30" s="162"/>
      <c r="D30" s="168" t="s">
        <v>6</v>
      </c>
      <c r="F30" s="103" t="str">
        <f t="shared" si="0"/>
        <v>Nevada</v>
      </c>
      <c r="G30" s="106" t="str">
        <f t="shared" si="1"/>
        <v>Values in AF</v>
      </c>
      <c r="H30" s="98"/>
      <c r="I30" s="186" t="str">
        <f t="shared" si="4"/>
        <v>Notes</v>
      </c>
      <c r="K30" s="135" t="str">
        <f t="shared" si="2"/>
        <v>Nevada</v>
      </c>
      <c r="L30" s="187" t="str">
        <f t="shared" si="3"/>
        <v>Values in AF</v>
      </c>
      <c r="M30" s="129"/>
      <c r="N30" s="188" t="str">
        <f t="shared" si="5"/>
        <v>Notes</v>
      </c>
    </row>
    <row r="31" spans="1:14" ht="15" customHeight="1" x14ac:dyDescent="0.2">
      <c r="A31" s="164" t="s">
        <v>3</v>
      </c>
      <c r="B31" s="169">
        <v>300000</v>
      </c>
      <c r="C31" s="162"/>
      <c r="D31" s="163"/>
      <c r="F31" s="101" t="str">
        <f t="shared" si="0"/>
        <v>Basic apportionment</v>
      </c>
      <c r="G31" s="106">
        <f t="shared" si="1"/>
        <v>300000</v>
      </c>
      <c r="H31" s="98"/>
      <c r="I31" s="102"/>
      <c r="K31" s="138" t="str">
        <f t="shared" si="2"/>
        <v>Basic apportionment</v>
      </c>
      <c r="L31" s="109">
        <f t="shared" si="3"/>
        <v>300000</v>
      </c>
      <c r="M31" s="129"/>
      <c r="N31" s="132"/>
    </row>
    <row r="32" spans="1:14" ht="15" customHeight="1" x14ac:dyDescent="0.2">
      <c r="A32" s="164" t="s">
        <v>112</v>
      </c>
      <c r="B32" s="169">
        <v>-58000</v>
      </c>
      <c r="C32" s="162"/>
      <c r="D32" s="178"/>
      <c r="F32" s="101" t="str">
        <f t="shared" si="0"/>
        <v>SNWA - ICS creation or delivery</v>
      </c>
      <c r="G32" s="106">
        <f t="shared" si="1"/>
        <v>-58000</v>
      </c>
      <c r="H32" s="98"/>
      <c r="I32" s="102"/>
      <c r="K32" s="138" t="str">
        <f t="shared" si="2"/>
        <v>SNWA - ICS creation or delivery</v>
      </c>
      <c r="L32" s="109">
        <f t="shared" si="3"/>
        <v>-58000</v>
      </c>
      <c r="M32" s="129"/>
      <c r="N32" s="132"/>
    </row>
    <row r="33" spans="1:14" ht="15" customHeight="1" x14ac:dyDescent="0.2">
      <c r="A33" s="164" t="s">
        <v>53</v>
      </c>
      <c r="B33" s="177">
        <v>0</v>
      </c>
      <c r="C33" s="162"/>
      <c r="D33" s="171"/>
      <c r="F33" s="101" t="str">
        <f t="shared" si="0"/>
        <v>DSS taken during shortage</v>
      </c>
      <c r="G33" s="110">
        <f t="shared" si="1"/>
        <v>0</v>
      </c>
      <c r="H33" s="98"/>
      <c r="I33" s="102"/>
      <c r="K33" s="138" t="str">
        <f t="shared" si="2"/>
        <v>DSS taken during shortage</v>
      </c>
      <c r="L33" s="111">
        <f t="shared" si="3"/>
        <v>0</v>
      </c>
      <c r="M33" s="129"/>
      <c r="N33" s="132"/>
    </row>
    <row r="34" spans="1:14" ht="15" customHeight="1" x14ac:dyDescent="0.2">
      <c r="A34" s="164" t="s">
        <v>45</v>
      </c>
      <c r="B34" s="169">
        <f>SUM(B31:B33)</f>
        <v>242000</v>
      </c>
      <c r="C34" s="162"/>
      <c r="D34" s="171"/>
      <c r="F34" s="101" t="str">
        <f t="shared" si="0"/>
        <v>Estimated NV adjusted apportionment</v>
      </c>
      <c r="G34" s="106">
        <f t="shared" si="1"/>
        <v>242000</v>
      </c>
      <c r="H34" s="98"/>
      <c r="I34" s="102"/>
      <c r="K34" s="138" t="str">
        <f t="shared" si="2"/>
        <v>Estimated NV adjusted apportionment</v>
      </c>
      <c r="L34" s="109">
        <f t="shared" si="3"/>
        <v>242000</v>
      </c>
      <c r="M34" s="129"/>
      <c r="N34" s="132"/>
    </row>
    <row r="35" spans="1:14" ht="15" customHeight="1" x14ac:dyDescent="0.2">
      <c r="A35" s="164" t="s">
        <v>104</v>
      </c>
      <c r="B35" s="169">
        <v>0</v>
      </c>
      <c r="C35" s="162"/>
      <c r="D35" s="171"/>
      <c r="F35" s="101" t="str">
        <f t="shared" si="0"/>
        <v>Shortage Volume</v>
      </c>
      <c r="G35" s="106">
        <f t="shared" si="1"/>
        <v>0</v>
      </c>
      <c r="H35" s="98"/>
      <c r="I35" s="102"/>
      <c r="K35" s="138" t="str">
        <f t="shared" si="2"/>
        <v>Shortage Volume</v>
      </c>
      <c r="L35" s="109">
        <f t="shared" si="3"/>
        <v>0</v>
      </c>
      <c r="M35" s="129"/>
      <c r="N35" s="132"/>
    </row>
    <row r="36" spans="1:14" ht="15" customHeight="1" x14ac:dyDescent="0.2">
      <c r="A36" s="164" t="s">
        <v>44</v>
      </c>
      <c r="B36" s="169">
        <v>0</v>
      </c>
      <c r="C36" s="162"/>
      <c r="D36" s="171"/>
      <c r="F36" s="101" t="str">
        <f t="shared" si="0"/>
        <v>SNWA - Estimated unused</v>
      </c>
      <c r="G36" s="106">
        <f t="shared" si="1"/>
        <v>0</v>
      </c>
      <c r="H36" s="98"/>
      <c r="I36" s="102"/>
      <c r="K36" s="138" t="str">
        <f t="shared" si="2"/>
        <v>SNWA - Estimated unused</v>
      </c>
      <c r="L36" s="109">
        <f t="shared" si="3"/>
        <v>0</v>
      </c>
      <c r="M36" s="129"/>
      <c r="N36" s="132"/>
    </row>
    <row r="37" spans="1:14" ht="15" customHeight="1" x14ac:dyDescent="0.2">
      <c r="A37" s="172" t="s">
        <v>46</v>
      </c>
      <c r="B37" s="173">
        <f>SUM(B34:B36)</f>
        <v>242000</v>
      </c>
      <c r="C37" s="179"/>
      <c r="D37" s="178" t="s">
        <v>120</v>
      </c>
      <c r="F37" s="113" t="str">
        <f t="shared" si="0"/>
        <v>Modeled NV state total</v>
      </c>
      <c r="G37" s="114">
        <f t="shared" si="1"/>
        <v>242000</v>
      </c>
      <c r="H37" s="120"/>
      <c r="I37" s="102" t="str">
        <f t="shared" si="4"/>
        <v>SNWA annual use of 237 kaf</v>
      </c>
      <c r="K37" s="141" t="str">
        <f t="shared" si="2"/>
        <v>Modeled NV state total</v>
      </c>
      <c r="L37" s="111">
        <f t="shared" si="3"/>
        <v>242000</v>
      </c>
      <c r="M37" s="134"/>
      <c r="N37" s="132" t="str">
        <f t="shared" si="5"/>
        <v>SNWA annual use of 237 kaf</v>
      </c>
    </row>
    <row r="38" spans="1:14" ht="15" customHeight="1" x14ac:dyDescent="0.2">
      <c r="A38" s="164" t="s">
        <v>17</v>
      </c>
      <c r="B38" s="169">
        <f>-B36</f>
        <v>0</v>
      </c>
      <c r="C38" s="179"/>
      <c r="D38" s="180"/>
      <c r="F38" s="101" t="str">
        <f t="shared" si="0"/>
        <v xml:space="preserve">     Unused - interstate banking</v>
      </c>
      <c r="G38" s="106">
        <f t="shared" si="1"/>
        <v>0</v>
      </c>
      <c r="H38" s="120"/>
      <c r="I38" s="102">
        <f t="shared" si="4"/>
        <v>0</v>
      </c>
      <c r="K38" s="138" t="str">
        <f t="shared" si="2"/>
        <v xml:space="preserve">     Unused - interstate banking</v>
      </c>
      <c r="L38" s="109">
        <f t="shared" si="3"/>
        <v>0</v>
      </c>
      <c r="M38" s="134"/>
      <c r="N38" s="132">
        <f t="shared" si="5"/>
        <v>0</v>
      </c>
    </row>
    <row r="39" spans="1:14" ht="15" customHeight="1" x14ac:dyDescent="0.2">
      <c r="A39" s="164" t="s">
        <v>18</v>
      </c>
      <c r="B39" s="169">
        <f>-B36-B38</f>
        <v>0</v>
      </c>
      <c r="C39" s="179"/>
      <c r="D39" s="192" t="s">
        <v>124</v>
      </c>
      <c r="F39" s="101" t="str">
        <f t="shared" si="0"/>
        <v xml:space="preserve">     Unused - left in system</v>
      </c>
      <c r="G39" s="106">
        <f t="shared" si="1"/>
        <v>0</v>
      </c>
      <c r="H39" s="120"/>
      <c r="I39" s="102"/>
      <c r="K39" s="138" t="str">
        <f t="shared" si="2"/>
        <v xml:space="preserve">     Unused - left in system</v>
      </c>
      <c r="L39" s="109">
        <f t="shared" si="3"/>
        <v>0</v>
      </c>
      <c r="M39" s="134"/>
      <c r="N39" s="132"/>
    </row>
    <row r="40" spans="1:14" ht="15" customHeight="1" x14ac:dyDescent="0.2">
      <c r="A40" s="181" t="s">
        <v>47</v>
      </c>
      <c r="B40" s="169">
        <v>645</v>
      </c>
      <c r="C40" s="162"/>
      <c r="D40" s="178">
        <v>242000</v>
      </c>
      <c r="F40" s="121" t="str">
        <f t="shared" si="0"/>
        <v xml:space="preserve">     PSCP water - left in system</v>
      </c>
      <c r="G40" s="106">
        <f t="shared" si="1"/>
        <v>645</v>
      </c>
      <c r="H40" s="98"/>
      <c r="I40" s="102"/>
      <c r="K40" s="133" t="str">
        <f t="shared" si="2"/>
        <v xml:space="preserve">     PSCP water - left in system</v>
      </c>
      <c r="L40" s="109">
        <f t="shared" si="3"/>
        <v>645</v>
      </c>
      <c r="M40" s="129"/>
      <c r="N40" s="132"/>
    </row>
    <row r="41" spans="1:14" ht="15" customHeight="1" x14ac:dyDescent="0.2">
      <c r="A41" s="164" t="s">
        <v>54</v>
      </c>
      <c r="B41" s="169">
        <v>30000</v>
      </c>
      <c r="C41" s="179"/>
      <c r="D41" s="163"/>
      <c r="F41" s="101" t="str">
        <f t="shared" si="0"/>
        <v xml:space="preserve">     ICS creation - left in system</v>
      </c>
      <c r="G41" s="106">
        <f t="shared" si="1"/>
        <v>30000</v>
      </c>
      <c r="H41" s="120"/>
      <c r="I41" s="102">
        <f t="shared" si="4"/>
        <v>0</v>
      </c>
      <c r="K41" s="138" t="str">
        <f t="shared" si="2"/>
        <v xml:space="preserve">     ICS creation - left in system</v>
      </c>
      <c r="L41" s="109">
        <f t="shared" si="3"/>
        <v>30000</v>
      </c>
      <c r="M41" s="134"/>
      <c r="N41" s="132">
        <f t="shared" si="5"/>
        <v>0</v>
      </c>
    </row>
    <row r="42" spans="1:14" ht="15" customHeight="1" x14ac:dyDescent="0.2">
      <c r="A42" s="164"/>
      <c r="B42" s="169"/>
      <c r="C42" s="179"/>
      <c r="D42" s="163"/>
      <c r="F42" s="101"/>
      <c r="G42" s="106"/>
      <c r="H42" s="120"/>
      <c r="I42" s="99"/>
      <c r="K42" s="138"/>
      <c r="L42" s="109"/>
      <c r="M42" s="134"/>
      <c r="N42" s="130"/>
    </row>
    <row r="43" spans="1:14" ht="15" customHeight="1" thickBot="1" x14ac:dyDescent="0.25">
      <c r="A43" s="182" t="s">
        <v>49</v>
      </c>
      <c r="B43" s="183">
        <f>SUM(B13,B26,B37)</f>
        <v>6757951</v>
      </c>
      <c r="C43" s="184"/>
      <c r="D43" s="193">
        <f>D40+D27+D15</f>
        <v>6692335</v>
      </c>
      <c r="F43" s="122" t="str">
        <f t="shared" si="0"/>
        <v>Projected Lower Basin Use (U.S. contractors only)</v>
      </c>
      <c r="G43" s="123">
        <f>SUM(G13,G26,G37)</f>
        <v>6757951</v>
      </c>
      <c r="H43" s="124"/>
      <c r="I43" s="150"/>
      <c r="K43" s="142" t="str">
        <f t="shared" si="2"/>
        <v>Projected Lower Basin Use (U.S. contractors only)</v>
      </c>
      <c r="L43" s="143">
        <f>SUM(L13,L26,L37)</f>
        <v>6757951</v>
      </c>
      <c r="M43" s="144"/>
      <c r="N43" s="151"/>
    </row>
    <row r="44" spans="1:14" ht="15" customHeight="1" x14ac:dyDescent="0.2">
      <c r="B44" s="117">
        <f>B43+1500000-30000</f>
        <v>8227951</v>
      </c>
      <c r="D44" s="117">
        <f>D43+1500000-30000</f>
        <v>8162335</v>
      </c>
      <c r="I44" s="117"/>
      <c r="L44" s="117">
        <f>L43+1500000-30000</f>
        <v>8227951</v>
      </c>
    </row>
    <row r="45" spans="1:14" ht="15" customHeight="1" x14ac:dyDescent="0.2">
      <c r="B45" s="117"/>
      <c r="I45" s="117"/>
      <c r="N45" s="117"/>
    </row>
    <row r="46" spans="1:14" ht="15" customHeight="1" x14ac:dyDescent="0.2">
      <c r="B46" s="117"/>
      <c r="D46" s="117"/>
      <c r="I46" s="126"/>
      <c r="N46" s="126"/>
    </row>
    <row r="47" spans="1:14" ht="15" customHeight="1" x14ac:dyDescent="0.2">
      <c r="D47" s="126"/>
    </row>
    <row r="48" spans="1:14" ht="15" customHeight="1" x14ac:dyDescent="0.2">
      <c r="D48" s="117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  <pageSetUpPr fitToPage="1"/>
  </sheetPr>
  <dimension ref="A1:X48"/>
  <sheetViews>
    <sheetView workbookViewId="0"/>
  </sheetViews>
  <sheetFormatPr defaultColWidth="8.5546875" defaultRowHeight="14.4" x14ac:dyDescent="0.3"/>
  <cols>
    <col min="1" max="1" width="50.44140625" bestFit="1" customWidth="1"/>
    <col min="2" max="2" width="12.5546875" bestFit="1" customWidth="1"/>
    <col min="3" max="3" width="4.5546875" customWidth="1"/>
    <col min="4" max="4" width="77" customWidth="1"/>
    <col min="5" max="5" width="9.44140625" hidden="1" customWidth="1"/>
    <col min="6" max="6" width="50.5546875" hidden="1" customWidth="1"/>
    <col min="7" max="7" width="11.5546875" hidden="1" customWidth="1"/>
    <col min="8" max="8" width="4.5546875" hidden="1" customWidth="1"/>
    <col min="9" max="9" width="100.44140625" hidden="1" customWidth="1"/>
    <col min="10" max="10" width="9.44140625" hidden="1" customWidth="1"/>
    <col min="11" max="11" width="50.5546875" hidden="1" customWidth="1"/>
    <col min="12" max="12" width="11.5546875" hidden="1" customWidth="1"/>
    <col min="13" max="13" width="4.5546875" hidden="1" customWidth="1"/>
    <col min="14" max="14" width="57.44140625" bestFit="1" customWidth="1"/>
    <col min="16" max="16" width="50.44140625" style="32" customWidth="1"/>
    <col min="17" max="17" width="11.5546875" style="32" customWidth="1"/>
    <col min="18" max="18" width="4.5546875" style="32" customWidth="1"/>
    <col min="19" max="19" width="90.5546875" style="32" customWidth="1"/>
    <col min="20" max="20" width="8.5546875" customWidth="1"/>
    <col min="21" max="21" width="40.5546875" style="47" customWidth="1"/>
    <col min="22" max="22" width="11.44140625" style="47" bestFit="1" customWidth="1"/>
    <col min="23" max="23" width="4.5546875" style="47" customWidth="1"/>
    <col min="24" max="24" width="90.5546875" style="47" customWidth="1"/>
  </cols>
  <sheetData>
    <row r="1" spans="1:24" ht="15.6" x14ac:dyDescent="0.3">
      <c r="A1" s="2" t="s">
        <v>56</v>
      </c>
      <c r="B1" s="13"/>
      <c r="C1" s="13"/>
      <c r="D1" s="13"/>
      <c r="E1" s="13"/>
      <c r="F1" s="9"/>
      <c r="G1" s="3"/>
      <c r="H1" s="3"/>
      <c r="I1" s="3"/>
      <c r="J1" s="3"/>
      <c r="K1" s="9"/>
      <c r="L1" s="3"/>
      <c r="M1" s="3"/>
      <c r="N1" s="3"/>
      <c r="P1" s="25" t="s">
        <v>56</v>
      </c>
      <c r="Q1" s="26"/>
      <c r="R1" s="26"/>
      <c r="S1" s="26"/>
      <c r="U1" s="40" t="s">
        <v>56</v>
      </c>
      <c r="V1" s="41"/>
      <c r="W1" s="41"/>
      <c r="X1" s="41"/>
    </row>
    <row r="2" spans="1:24" ht="15.6" x14ac:dyDescent="0.3">
      <c r="A2" s="57" t="s">
        <v>50</v>
      </c>
      <c r="B2" s="13"/>
      <c r="C2" s="13"/>
      <c r="D2" s="13"/>
      <c r="E2" s="13"/>
      <c r="F2" s="3"/>
      <c r="G2" s="3"/>
      <c r="H2" s="3"/>
      <c r="I2" s="3"/>
      <c r="J2" s="3"/>
      <c r="K2" s="3"/>
      <c r="L2" s="3"/>
      <c r="M2" s="3"/>
      <c r="N2" s="3"/>
      <c r="P2" s="55" t="s">
        <v>55</v>
      </c>
      <c r="Q2" s="26"/>
      <c r="R2" s="26"/>
      <c r="S2" s="26"/>
      <c r="U2" s="56" t="s">
        <v>57</v>
      </c>
      <c r="V2" s="41"/>
      <c r="W2" s="41"/>
      <c r="X2" s="41"/>
    </row>
    <row r="3" spans="1:24" x14ac:dyDescent="0.3">
      <c r="A3" s="24" t="s">
        <v>51</v>
      </c>
      <c r="B3" s="13"/>
      <c r="C3" s="13"/>
      <c r="D3" s="13"/>
      <c r="E3" s="13"/>
      <c r="F3" s="3"/>
      <c r="G3" s="3"/>
      <c r="H3" s="3"/>
      <c r="I3" s="3"/>
      <c r="J3" s="3"/>
      <c r="K3" s="3"/>
      <c r="L3" s="3"/>
      <c r="M3" s="3"/>
      <c r="N3" s="3"/>
      <c r="P3" s="27" t="s">
        <v>51</v>
      </c>
      <c r="Q3" s="26"/>
      <c r="R3" s="26"/>
      <c r="S3" s="26"/>
      <c r="U3" s="42" t="s">
        <v>51</v>
      </c>
      <c r="V3" s="41"/>
      <c r="W3" s="41"/>
      <c r="X3" s="41"/>
    </row>
    <row r="4" spans="1:24" x14ac:dyDescent="0.3">
      <c r="A4" s="13"/>
      <c r="B4" s="13"/>
      <c r="C4" s="13"/>
      <c r="D4" s="20"/>
      <c r="F4" s="5"/>
      <c r="G4" s="5"/>
      <c r="H4" s="5"/>
      <c r="I4" s="5"/>
      <c r="J4" s="4"/>
      <c r="K4" s="5"/>
      <c r="L4" s="5"/>
      <c r="M4" s="5"/>
      <c r="N4" s="5"/>
      <c r="P4" s="26"/>
      <c r="Q4" s="26"/>
      <c r="R4" s="26"/>
      <c r="S4" s="28"/>
      <c r="U4" s="41"/>
      <c r="V4" s="41"/>
      <c r="W4" s="41"/>
      <c r="X4" s="43"/>
    </row>
    <row r="5" spans="1:24" ht="14.85" customHeight="1" x14ac:dyDescent="0.3">
      <c r="A5" s="12" t="s">
        <v>0</v>
      </c>
      <c r="B5" s="15" t="s">
        <v>5</v>
      </c>
      <c r="C5" s="13"/>
      <c r="D5" s="12" t="s">
        <v>6</v>
      </c>
      <c r="F5" s="6" t="s">
        <v>0</v>
      </c>
      <c r="G5" s="7" t="s">
        <v>5</v>
      </c>
      <c r="H5" s="5"/>
      <c r="I5" s="6" t="s">
        <v>6</v>
      </c>
      <c r="J5" s="4"/>
      <c r="K5" s="12" t="s">
        <v>0</v>
      </c>
      <c r="L5" s="15" t="s">
        <v>5</v>
      </c>
      <c r="M5" s="13"/>
      <c r="N5" s="12" t="s">
        <v>6</v>
      </c>
      <c r="P5" s="29" t="s">
        <v>0</v>
      </c>
      <c r="Q5" s="30" t="s">
        <v>5</v>
      </c>
      <c r="R5" s="26"/>
      <c r="S5" s="29" t="s">
        <v>6</v>
      </c>
      <c r="U5" s="44" t="s">
        <v>0</v>
      </c>
      <c r="V5" s="45" t="s">
        <v>5</v>
      </c>
      <c r="W5" s="41"/>
      <c r="X5" s="44" t="s">
        <v>6</v>
      </c>
    </row>
    <row r="6" spans="1:24" ht="14.85" customHeight="1" x14ac:dyDescent="0.3">
      <c r="A6" s="13" t="s">
        <v>3</v>
      </c>
      <c r="B6" s="11">
        <v>4400000</v>
      </c>
      <c r="C6" s="13"/>
      <c r="D6" s="58"/>
      <c r="F6" s="5" t="s">
        <v>3</v>
      </c>
      <c r="G6" s="11">
        <v>4400000</v>
      </c>
      <c r="H6" s="13"/>
      <c r="J6" s="4"/>
      <c r="K6" s="13" t="s">
        <v>3</v>
      </c>
      <c r="L6" s="11">
        <v>4400000</v>
      </c>
      <c r="M6" s="13"/>
      <c r="P6" s="26" t="s">
        <v>3</v>
      </c>
      <c r="Q6" s="31">
        <v>4400000</v>
      </c>
      <c r="R6" s="26"/>
      <c r="S6" s="83"/>
      <c r="U6" s="41" t="s">
        <v>3</v>
      </c>
      <c r="V6" s="46">
        <v>4400000</v>
      </c>
      <c r="W6" s="41"/>
      <c r="X6" s="73"/>
    </row>
    <row r="7" spans="1:24" ht="14.85" customHeight="1" x14ac:dyDescent="0.3">
      <c r="A7" s="13" t="s">
        <v>34</v>
      </c>
      <c r="B7" s="11">
        <f>B28+B39</f>
        <v>0</v>
      </c>
      <c r="C7" s="13"/>
      <c r="D7" s="58"/>
      <c r="F7" s="5" t="s">
        <v>9</v>
      </c>
      <c r="G7" s="11">
        <v>0</v>
      </c>
      <c r="H7" s="13"/>
      <c r="I7" s="11"/>
      <c r="J7" s="4"/>
      <c r="K7" s="13" t="s">
        <v>9</v>
      </c>
      <c r="L7" s="11">
        <v>0</v>
      </c>
      <c r="M7" s="13"/>
      <c r="N7" s="11"/>
      <c r="P7" s="26" t="s">
        <v>34</v>
      </c>
      <c r="Q7" s="31">
        <f>Q28+Q39</f>
        <v>0</v>
      </c>
      <c r="R7" s="26"/>
      <c r="S7" s="83"/>
      <c r="U7" s="41" t="s">
        <v>34</v>
      </c>
      <c r="V7" s="46">
        <f>V28+V39</f>
        <v>0</v>
      </c>
      <c r="W7" s="41"/>
      <c r="X7" s="73"/>
    </row>
    <row r="8" spans="1:24" x14ac:dyDescent="0.3">
      <c r="A8" s="13" t="s">
        <v>36</v>
      </c>
      <c r="B8" s="11">
        <v>0</v>
      </c>
      <c r="C8" s="13"/>
      <c r="D8" s="86" t="s">
        <v>79</v>
      </c>
      <c r="F8" s="5" t="s">
        <v>4</v>
      </c>
      <c r="G8" s="11">
        <v>34622</v>
      </c>
      <c r="H8" s="13"/>
      <c r="I8" s="16" t="s">
        <v>31</v>
      </c>
      <c r="J8" s="4"/>
      <c r="K8" s="13" t="s">
        <v>4</v>
      </c>
      <c r="L8" s="11">
        <v>34622</v>
      </c>
      <c r="M8" s="13"/>
      <c r="N8" s="16" t="s">
        <v>31</v>
      </c>
      <c r="P8" s="26" t="s">
        <v>36</v>
      </c>
      <c r="Q8" s="31">
        <v>0</v>
      </c>
      <c r="R8" s="26"/>
      <c r="S8" s="87" t="s">
        <v>76</v>
      </c>
      <c r="U8" s="41" t="s">
        <v>36</v>
      </c>
      <c r="V8" s="46">
        <v>0</v>
      </c>
      <c r="W8" s="41"/>
      <c r="X8" s="88" t="s">
        <v>76</v>
      </c>
    </row>
    <row r="9" spans="1:24" ht="14.85" customHeight="1" x14ac:dyDescent="0.3">
      <c r="A9" s="13" t="s">
        <v>37</v>
      </c>
      <c r="B9" s="11">
        <v>0</v>
      </c>
      <c r="C9" s="13"/>
      <c r="D9" s="58" t="s">
        <v>78</v>
      </c>
      <c r="E9" s="1"/>
      <c r="F9" s="5" t="s">
        <v>15</v>
      </c>
      <c r="G9" s="11">
        <f>G40</f>
        <v>200000</v>
      </c>
      <c r="H9" s="13"/>
      <c r="I9" s="13" t="s">
        <v>14</v>
      </c>
      <c r="J9" s="4"/>
      <c r="K9" s="13" t="s">
        <v>15</v>
      </c>
      <c r="L9" s="11">
        <f>L40</f>
        <v>200000</v>
      </c>
      <c r="M9" s="13"/>
      <c r="N9" s="13" t="s">
        <v>14</v>
      </c>
      <c r="P9" s="26" t="s">
        <v>37</v>
      </c>
      <c r="Q9" s="31">
        <v>-25000</v>
      </c>
      <c r="R9" s="26"/>
      <c r="S9" s="83" t="s">
        <v>64</v>
      </c>
      <c r="U9" s="41" t="s">
        <v>37</v>
      </c>
      <c r="V9" s="46">
        <v>-25000</v>
      </c>
      <c r="W9" s="41"/>
      <c r="X9" s="73" t="s">
        <v>64</v>
      </c>
    </row>
    <row r="10" spans="1:24" ht="14.85" customHeight="1" x14ac:dyDescent="0.3">
      <c r="A10" s="13" t="s">
        <v>38</v>
      </c>
      <c r="B10" s="14">
        <v>0</v>
      </c>
      <c r="C10" s="13"/>
      <c r="D10" s="58" t="s">
        <v>48</v>
      </c>
      <c r="F10" s="5" t="s">
        <v>10</v>
      </c>
      <c r="G10" s="11">
        <v>-25000</v>
      </c>
      <c r="H10" s="13"/>
      <c r="I10" s="13" t="s">
        <v>27</v>
      </c>
      <c r="J10" s="4"/>
      <c r="K10" s="13" t="s">
        <v>10</v>
      </c>
      <c r="L10" s="11">
        <v>-25000</v>
      </c>
      <c r="M10" s="13"/>
      <c r="N10" s="13" t="s">
        <v>27</v>
      </c>
      <c r="P10" s="26" t="s">
        <v>38</v>
      </c>
      <c r="Q10" s="34">
        <v>0</v>
      </c>
      <c r="R10" s="26"/>
      <c r="S10" s="83" t="s">
        <v>48</v>
      </c>
      <c r="U10" s="41" t="s">
        <v>38</v>
      </c>
      <c r="V10" s="49">
        <v>0</v>
      </c>
      <c r="W10" s="41"/>
      <c r="X10" s="73" t="s">
        <v>48</v>
      </c>
    </row>
    <row r="11" spans="1:24" ht="14.85" customHeight="1" x14ac:dyDescent="0.3">
      <c r="A11" s="13" t="s">
        <v>41</v>
      </c>
      <c r="B11" s="11">
        <f>SUM(B6:B10)</f>
        <v>4400000</v>
      </c>
      <c r="C11" s="13"/>
      <c r="D11" s="58"/>
      <c r="F11" s="5" t="s">
        <v>21</v>
      </c>
      <c r="G11" s="14">
        <v>0</v>
      </c>
      <c r="H11" s="13"/>
      <c r="I11" s="13" t="s">
        <v>26</v>
      </c>
      <c r="J11" s="4"/>
      <c r="K11" s="13" t="s">
        <v>21</v>
      </c>
      <c r="L11" s="14">
        <v>0</v>
      </c>
      <c r="M11" s="13"/>
      <c r="N11" s="13" t="s">
        <v>26</v>
      </c>
      <c r="P11" s="26" t="s">
        <v>41</v>
      </c>
      <c r="Q11" s="31">
        <f>SUM(Q6:Q10)</f>
        <v>4375000</v>
      </c>
      <c r="R11" s="26"/>
      <c r="S11" s="83"/>
      <c r="U11" s="41" t="s">
        <v>41</v>
      </c>
      <c r="V11" s="46">
        <f>SUM(V6:V10)</f>
        <v>4375000</v>
      </c>
      <c r="W11" s="41"/>
      <c r="X11" s="73"/>
    </row>
    <row r="12" spans="1:24" ht="14.85" customHeight="1" x14ac:dyDescent="0.3">
      <c r="A12" s="21" t="s">
        <v>40</v>
      </c>
      <c r="B12" s="22">
        <f>B11+B13</f>
        <v>4400000</v>
      </c>
      <c r="C12" s="13"/>
      <c r="D12" s="58"/>
      <c r="F12" s="5" t="s">
        <v>7</v>
      </c>
      <c r="G12" s="11">
        <f>SUM(G6:G11)</f>
        <v>4609622</v>
      </c>
      <c r="H12" s="13"/>
      <c r="I12" s="11"/>
      <c r="J12" s="4"/>
      <c r="K12" s="13" t="s">
        <v>7</v>
      </c>
      <c r="L12" s="11">
        <f>SUM(L6:L11)</f>
        <v>4609622</v>
      </c>
      <c r="M12" s="13"/>
      <c r="N12" s="11"/>
      <c r="P12" s="35" t="s">
        <v>40</v>
      </c>
      <c r="Q12" s="36">
        <f>Q11+Q13</f>
        <v>4375000</v>
      </c>
      <c r="R12" s="26"/>
      <c r="S12" s="83"/>
      <c r="U12" s="50" t="s">
        <v>40</v>
      </c>
      <c r="V12" s="51">
        <f>V11+V13</f>
        <v>4375000</v>
      </c>
      <c r="W12" s="41"/>
      <c r="X12" s="73"/>
    </row>
    <row r="13" spans="1:24" ht="14.85" customHeight="1" x14ac:dyDescent="0.3">
      <c r="A13" s="13" t="s">
        <v>17</v>
      </c>
      <c r="B13" s="11">
        <v>0</v>
      </c>
      <c r="C13" s="13"/>
      <c r="D13" s="58"/>
      <c r="F13" s="5" t="s">
        <v>8</v>
      </c>
      <c r="G13" s="14">
        <f>G12+G14</f>
        <v>4609622</v>
      </c>
      <c r="H13" s="13"/>
      <c r="I13" s="11"/>
      <c r="J13" s="4"/>
      <c r="K13" s="13" t="s">
        <v>8</v>
      </c>
      <c r="L13" s="14">
        <f>L12+L14</f>
        <v>4609622</v>
      </c>
      <c r="M13" s="13"/>
      <c r="N13" s="17"/>
      <c r="O13" s="1"/>
      <c r="P13" s="26" t="s">
        <v>17</v>
      </c>
      <c r="Q13" s="31">
        <v>0</v>
      </c>
      <c r="R13" s="26"/>
      <c r="S13" s="83"/>
      <c r="U13" s="41" t="s">
        <v>17</v>
      </c>
      <c r="V13" s="46">
        <v>0</v>
      </c>
      <c r="W13" s="41"/>
      <c r="X13" s="73"/>
    </row>
    <row r="14" spans="1:24" ht="14.85" customHeight="1" x14ac:dyDescent="0.3">
      <c r="A14" s="13" t="s">
        <v>18</v>
      </c>
      <c r="B14" s="11">
        <v>0</v>
      </c>
      <c r="C14" s="13"/>
      <c r="D14" s="58"/>
      <c r="F14" s="5" t="s">
        <v>12</v>
      </c>
      <c r="G14" s="11">
        <v>0</v>
      </c>
      <c r="H14" s="13"/>
      <c r="I14" s="12"/>
      <c r="J14" s="4"/>
      <c r="K14" s="13" t="s">
        <v>12</v>
      </c>
      <c r="L14" s="11">
        <v>0</v>
      </c>
      <c r="M14" s="13"/>
      <c r="N14" s="17"/>
      <c r="P14" s="26" t="s">
        <v>18</v>
      </c>
      <c r="Q14" s="31">
        <v>0</v>
      </c>
      <c r="R14" s="26"/>
      <c r="S14" s="83"/>
      <c r="U14" s="41" t="s">
        <v>18</v>
      </c>
      <c r="V14" s="46">
        <v>0</v>
      </c>
      <c r="W14" s="41"/>
      <c r="X14" s="73"/>
    </row>
    <row r="15" spans="1:24" ht="14.85" customHeight="1" x14ac:dyDescent="0.3">
      <c r="A15" s="13"/>
      <c r="B15" s="11"/>
      <c r="C15" s="13"/>
      <c r="D15" s="10"/>
      <c r="F15" s="5"/>
      <c r="G15" s="8"/>
      <c r="H15" s="5"/>
      <c r="I15" s="6"/>
      <c r="J15" s="4"/>
      <c r="K15" s="13"/>
      <c r="L15" s="11"/>
      <c r="M15" s="13"/>
      <c r="N15" s="12"/>
      <c r="P15" s="26"/>
      <c r="Q15" s="31"/>
      <c r="R15" s="26"/>
      <c r="S15" s="37"/>
      <c r="U15" s="41"/>
      <c r="V15" s="46"/>
      <c r="W15" s="41"/>
      <c r="X15" s="52"/>
    </row>
    <row r="16" spans="1:24" ht="14.85" customHeight="1" x14ac:dyDescent="0.3">
      <c r="A16" s="12" t="s">
        <v>1</v>
      </c>
      <c r="B16" s="15" t="s">
        <v>5</v>
      </c>
      <c r="C16" s="13"/>
      <c r="D16" s="12" t="s">
        <v>6</v>
      </c>
      <c r="F16" s="6" t="s">
        <v>1</v>
      </c>
      <c r="G16" s="8"/>
      <c r="H16" s="5"/>
      <c r="I16" s="6" t="s">
        <v>6</v>
      </c>
      <c r="J16" s="4"/>
      <c r="K16" s="12" t="s">
        <v>1</v>
      </c>
      <c r="L16" s="11"/>
      <c r="M16" s="13"/>
      <c r="N16" s="12" t="s">
        <v>6</v>
      </c>
      <c r="P16" s="29" t="s">
        <v>1</v>
      </c>
      <c r="Q16" s="30" t="s">
        <v>5</v>
      </c>
      <c r="R16" s="26"/>
      <c r="S16" s="29" t="s">
        <v>6</v>
      </c>
      <c r="U16" s="44" t="s">
        <v>1</v>
      </c>
      <c r="V16" s="45" t="s">
        <v>5</v>
      </c>
      <c r="W16" s="41"/>
      <c r="X16" s="44" t="s">
        <v>6</v>
      </c>
    </row>
    <row r="17" spans="1:24" ht="14.85" customHeight="1" x14ac:dyDescent="0.3">
      <c r="A17" s="13" t="s">
        <v>3</v>
      </c>
      <c r="B17" s="11">
        <v>2800000</v>
      </c>
      <c r="C17" s="13"/>
      <c r="D17" s="69" t="s">
        <v>80</v>
      </c>
      <c r="F17" s="5" t="s">
        <v>3</v>
      </c>
      <c r="G17" s="11">
        <v>2800000</v>
      </c>
      <c r="H17" s="13"/>
      <c r="I17" s="13"/>
      <c r="J17" s="4"/>
      <c r="K17" s="13" t="s">
        <v>3</v>
      </c>
      <c r="L17" s="11">
        <v>2800000</v>
      </c>
      <c r="M17" s="13"/>
      <c r="N17" s="13"/>
      <c r="P17" s="26" t="s">
        <v>3</v>
      </c>
      <c r="Q17" s="31">
        <v>2800000</v>
      </c>
      <c r="R17" s="26"/>
      <c r="S17" s="62" t="s">
        <v>77</v>
      </c>
      <c r="U17" s="41" t="s">
        <v>3</v>
      </c>
      <c r="V17" s="46">
        <v>2800000</v>
      </c>
      <c r="W17" s="41"/>
      <c r="X17" s="74" t="s">
        <v>70</v>
      </c>
    </row>
    <row r="18" spans="1:24" ht="14.85" customHeight="1" x14ac:dyDescent="0.3">
      <c r="A18" s="13" t="s">
        <v>35</v>
      </c>
      <c r="B18" s="11">
        <v>0</v>
      </c>
      <c r="C18" s="13"/>
      <c r="D18" s="58"/>
      <c r="F18" s="5" t="s">
        <v>11</v>
      </c>
      <c r="G18" s="11">
        <v>-165</v>
      </c>
      <c r="H18" s="13"/>
      <c r="I18" s="13" t="s">
        <v>25</v>
      </c>
      <c r="J18" s="4"/>
      <c r="K18" s="13" t="s">
        <v>21</v>
      </c>
      <c r="L18" s="11">
        <v>-165</v>
      </c>
      <c r="M18" s="13"/>
      <c r="N18" s="13" t="s">
        <v>25</v>
      </c>
      <c r="P18" s="26" t="s">
        <v>35</v>
      </c>
      <c r="Q18" s="31">
        <v>0</v>
      </c>
      <c r="R18" s="26"/>
      <c r="S18" s="83"/>
      <c r="U18" s="41" t="s">
        <v>35</v>
      </c>
      <c r="V18" s="46">
        <v>0</v>
      </c>
      <c r="W18" s="41"/>
      <c r="X18" s="73"/>
    </row>
    <row r="19" spans="1:24" ht="14.85" customHeight="1" x14ac:dyDescent="0.3">
      <c r="A19" s="13" t="s">
        <v>39</v>
      </c>
      <c r="B19" s="11">
        <v>0</v>
      </c>
      <c r="C19" s="13"/>
      <c r="D19" s="58"/>
      <c r="F19" s="5" t="s">
        <v>16</v>
      </c>
      <c r="G19" s="11">
        <v>0</v>
      </c>
      <c r="H19" s="13"/>
      <c r="I19" s="13"/>
      <c r="J19" s="4"/>
      <c r="K19" s="13" t="s">
        <v>16</v>
      </c>
      <c r="L19" s="11">
        <v>0</v>
      </c>
      <c r="M19" s="13"/>
      <c r="N19" s="13"/>
      <c r="P19" s="26" t="s">
        <v>39</v>
      </c>
      <c r="Q19" s="31">
        <v>0</v>
      </c>
      <c r="R19" s="26"/>
      <c r="S19" s="83"/>
      <c r="U19" s="41" t="s">
        <v>39</v>
      </c>
      <c r="V19" s="46">
        <v>0</v>
      </c>
      <c r="W19" s="41"/>
      <c r="X19" s="73"/>
    </row>
    <row r="20" spans="1:24" ht="14.85" customHeight="1" x14ac:dyDescent="0.3">
      <c r="A20" s="13" t="s">
        <v>21</v>
      </c>
      <c r="B20" s="11">
        <v>0</v>
      </c>
      <c r="C20" s="13"/>
      <c r="D20" s="58"/>
      <c r="F20" s="5" t="s">
        <v>19</v>
      </c>
      <c r="G20" s="14">
        <v>0</v>
      </c>
      <c r="H20" s="13"/>
      <c r="I20" s="13"/>
      <c r="J20" s="4"/>
      <c r="K20" s="13" t="s">
        <v>19</v>
      </c>
      <c r="L20" s="14">
        <v>0</v>
      </c>
      <c r="M20" s="13"/>
      <c r="N20" s="13"/>
      <c r="P20" s="26" t="s">
        <v>21</v>
      </c>
      <c r="Q20" s="31">
        <v>0</v>
      </c>
      <c r="R20" s="26"/>
      <c r="S20" s="83"/>
      <c r="U20" s="41" t="s">
        <v>21</v>
      </c>
      <c r="V20" s="46">
        <v>0</v>
      </c>
      <c r="W20" s="41"/>
      <c r="X20" s="73"/>
    </row>
    <row r="21" spans="1:24" ht="14.85" customHeight="1" x14ac:dyDescent="0.3">
      <c r="A21" s="13" t="s">
        <v>65</v>
      </c>
      <c r="B21" s="11">
        <v>-13933</v>
      </c>
      <c r="C21" s="13"/>
      <c r="D21" s="58"/>
      <c r="F21" s="5"/>
      <c r="G21" s="11"/>
      <c r="H21" s="13"/>
      <c r="I21" s="13"/>
      <c r="J21" s="4"/>
      <c r="K21" s="13"/>
      <c r="L21" s="11"/>
      <c r="M21" s="13"/>
      <c r="N21" s="13"/>
      <c r="P21" s="26" t="s">
        <v>65</v>
      </c>
      <c r="Q21" s="31">
        <v>-13933</v>
      </c>
      <c r="R21" s="26"/>
      <c r="S21" s="83"/>
      <c r="U21" s="41" t="s">
        <v>65</v>
      </c>
      <c r="V21" s="46">
        <v>-13933</v>
      </c>
      <c r="W21" s="41"/>
      <c r="X21" s="73"/>
    </row>
    <row r="22" spans="1:24" ht="14.85" customHeight="1" x14ac:dyDescent="0.3">
      <c r="A22" s="13" t="s">
        <v>71</v>
      </c>
      <c r="B22" s="11">
        <f>-9817-1137-10000</f>
        <v>-20954</v>
      </c>
      <c r="C22" s="13"/>
      <c r="D22" s="58" t="s">
        <v>72</v>
      </c>
      <c r="F22" s="5"/>
      <c r="G22" s="11"/>
      <c r="H22" s="13"/>
      <c r="I22" s="13"/>
      <c r="J22" s="4"/>
      <c r="K22" s="13"/>
      <c r="L22" s="11"/>
      <c r="M22" s="13"/>
      <c r="N22" s="13"/>
      <c r="P22" s="26" t="s">
        <v>71</v>
      </c>
      <c r="Q22" s="31">
        <f>-9817-1137-10000</f>
        <v>-20954</v>
      </c>
      <c r="R22" s="26"/>
      <c r="S22" s="83" t="s">
        <v>72</v>
      </c>
      <c r="U22" s="41" t="s">
        <v>71</v>
      </c>
      <c r="V22" s="46">
        <f>-9817-1137-10000</f>
        <v>-20954</v>
      </c>
      <c r="W22" s="41"/>
      <c r="X22" s="73" t="s">
        <v>72</v>
      </c>
    </row>
    <row r="23" spans="1:24" ht="14.85" customHeight="1" x14ac:dyDescent="0.3">
      <c r="A23" s="13" t="s">
        <v>66</v>
      </c>
      <c r="B23" s="11">
        <v>-25265</v>
      </c>
      <c r="C23" s="13"/>
      <c r="D23" s="58"/>
      <c r="F23" s="5"/>
      <c r="G23" s="11"/>
      <c r="H23" s="13"/>
      <c r="I23" s="13"/>
      <c r="J23" s="4"/>
      <c r="K23" s="13"/>
      <c r="L23" s="11"/>
      <c r="M23" s="13"/>
      <c r="N23" s="13"/>
      <c r="P23" s="26" t="s">
        <v>66</v>
      </c>
      <c r="Q23" s="31">
        <v>-25265</v>
      </c>
      <c r="R23" s="26"/>
      <c r="S23" s="83"/>
      <c r="U23" s="41" t="s">
        <v>66</v>
      </c>
      <c r="V23" s="46">
        <v>-25265</v>
      </c>
      <c r="W23" s="41"/>
      <c r="X23" s="73"/>
    </row>
    <row r="24" spans="1:24" ht="14.85" customHeight="1" x14ac:dyDescent="0.3">
      <c r="A24" s="13" t="s">
        <v>30</v>
      </c>
      <c r="B24" s="11">
        <v>-7000</v>
      </c>
      <c r="C24" s="13"/>
      <c r="D24" s="58" t="s">
        <v>68</v>
      </c>
      <c r="F24" s="5"/>
      <c r="G24" s="11">
        <v>-7000</v>
      </c>
      <c r="H24" s="13"/>
      <c r="I24" s="13" t="s">
        <v>29</v>
      </c>
      <c r="J24" s="4"/>
      <c r="K24" s="13" t="s">
        <v>30</v>
      </c>
      <c r="L24" s="11">
        <v>-7000</v>
      </c>
      <c r="M24" s="13"/>
      <c r="N24" s="13" t="s">
        <v>29</v>
      </c>
      <c r="P24" s="26" t="s">
        <v>30</v>
      </c>
      <c r="Q24" s="31">
        <v>-7000</v>
      </c>
      <c r="R24" s="26"/>
      <c r="S24" s="83" t="s">
        <v>68</v>
      </c>
      <c r="U24" s="41" t="s">
        <v>30</v>
      </c>
      <c r="V24" s="46">
        <v>-7000</v>
      </c>
      <c r="W24" s="41"/>
      <c r="X24" s="73" t="s">
        <v>68</v>
      </c>
    </row>
    <row r="25" spans="1:24" ht="14.85" customHeight="1" x14ac:dyDescent="0.3">
      <c r="A25" s="13" t="s">
        <v>42</v>
      </c>
      <c r="B25" s="14">
        <f>SUM(B17:B24)</f>
        <v>2732848</v>
      </c>
      <c r="C25" s="13"/>
      <c r="D25" s="58"/>
      <c r="F25" s="5" t="s">
        <v>7</v>
      </c>
      <c r="G25" s="11">
        <f>SUM(G17:G24)</f>
        <v>2792835</v>
      </c>
      <c r="H25" s="13"/>
      <c r="I25" s="13"/>
      <c r="J25" s="4"/>
      <c r="K25" s="13" t="s">
        <v>7</v>
      </c>
      <c r="L25" s="11">
        <f>SUM(L17:L24)</f>
        <v>2792835</v>
      </c>
      <c r="M25" s="13"/>
      <c r="N25" s="13"/>
      <c r="P25" s="26" t="s">
        <v>42</v>
      </c>
      <c r="Q25" s="34">
        <f>SUM(Q17:Q24)</f>
        <v>2732848</v>
      </c>
      <c r="R25" s="26"/>
      <c r="S25" s="83"/>
      <c r="U25" s="41" t="s">
        <v>42</v>
      </c>
      <c r="V25" s="49">
        <f>SUM(V17:V24)</f>
        <v>2732848</v>
      </c>
      <c r="W25" s="41"/>
      <c r="X25" s="73"/>
    </row>
    <row r="26" spans="1:24" ht="14.85" customHeight="1" x14ac:dyDescent="0.3">
      <c r="A26" s="13" t="s">
        <v>63</v>
      </c>
      <c r="B26" s="80">
        <f>-B29-SUM(B21:B24)</f>
        <v>-114099</v>
      </c>
      <c r="C26" s="13"/>
      <c r="D26" s="69" t="s">
        <v>69</v>
      </c>
      <c r="F26" s="5" t="s">
        <v>8</v>
      </c>
      <c r="G26" s="14">
        <f>G25+G27</f>
        <v>2617835</v>
      </c>
      <c r="H26" s="13"/>
      <c r="I26" s="18"/>
      <c r="J26" s="4"/>
      <c r="K26" s="13" t="s">
        <v>8</v>
      </c>
      <c r="L26" s="14">
        <f>L25+L27</f>
        <v>2617835</v>
      </c>
      <c r="M26" s="13"/>
      <c r="N26" s="18"/>
      <c r="P26" s="26" t="s">
        <v>63</v>
      </c>
      <c r="Q26" s="81">
        <f>-Q29-SUM(Q21:Q24)</f>
        <v>-123802</v>
      </c>
      <c r="R26" s="26"/>
      <c r="S26" s="82" t="s">
        <v>69</v>
      </c>
      <c r="U26" s="41" t="s">
        <v>63</v>
      </c>
      <c r="V26" s="84">
        <f>-V29-SUM(V21:V24)</f>
        <v>-123802</v>
      </c>
      <c r="W26" s="41"/>
      <c r="X26" s="74" t="s">
        <v>69</v>
      </c>
    </row>
    <row r="27" spans="1:24" ht="14.85" customHeight="1" x14ac:dyDescent="0.3">
      <c r="A27" s="21" t="s">
        <v>43</v>
      </c>
      <c r="B27" s="22">
        <f>B25+B26</f>
        <v>2618749</v>
      </c>
      <c r="C27" s="13"/>
      <c r="D27" s="69"/>
      <c r="F27" s="5" t="s">
        <v>12</v>
      </c>
      <c r="G27" s="11">
        <v>-175000</v>
      </c>
      <c r="H27" s="13"/>
      <c r="I27" s="13" t="s">
        <v>28</v>
      </c>
      <c r="J27" s="4"/>
      <c r="K27" s="13" t="s">
        <v>12</v>
      </c>
      <c r="L27" s="11">
        <v>-175000</v>
      </c>
      <c r="M27" s="13"/>
      <c r="N27" s="13" t="s">
        <v>28</v>
      </c>
      <c r="P27" s="35" t="s">
        <v>43</v>
      </c>
      <c r="Q27" s="36">
        <f>Q25+Q26</f>
        <v>2609046</v>
      </c>
      <c r="R27" s="26"/>
      <c r="S27" s="83"/>
      <c r="U27" s="50" t="s">
        <v>43</v>
      </c>
      <c r="V27" s="51">
        <f>V25+V26</f>
        <v>2609046</v>
      </c>
      <c r="W27" s="41"/>
      <c r="X27" s="74"/>
    </row>
    <row r="28" spans="1:24" ht="14.85" customHeight="1" x14ac:dyDescent="0.3">
      <c r="A28" s="13" t="s">
        <v>17</v>
      </c>
      <c r="B28" s="11">
        <v>0</v>
      </c>
      <c r="C28" s="13"/>
      <c r="D28" s="69"/>
      <c r="F28" s="5"/>
      <c r="G28" s="11">
        <v>0</v>
      </c>
      <c r="H28" s="13"/>
      <c r="I28" s="13"/>
      <c r="J28" s="4"/>
      <c r="K28" s="13" t="s">
        <v>17</v>
      </c>
      <c r="L28" s="11">
        <v>0</v>
      </c>
      <c r="M28" s="13"/>
      <c r="N28" s="13"/>
      <c r="P28" s="26" t="s">
        <v>17</v>
      </c>
      <c r="Q28" s="31">
        <v>0</v>
      </c>
      <c r="R28" s="26"/>
      <c r="S28" s="83"/>
      <c r="U28" s="41" t="s">
        <v>17</v>
      </c>
      <c r="V28" s="46">
        <v>0</v>
      </c>
      <c r="W28" s="41"/>
      <c r="X28" s="74"/>
    </row>
    <row r="29" spans="1:24" ht="14.85" customHeight="1" x14ac:dyDescent="0.3">
      <c r="A29" s="13" t="s">
        <v>18</v>
      </c>
      <c r="B29" s="80">
        <f>170000+ABS(B22)-9703</f>
        <v>181251</v>
      </c>
      <c r="C29" s="13"/>
      <c r="D29" s="89" t="s">
        <v>81</v>
      </c>
      <c r="F29" s="5"/>
      <c r="G29" s="11">
        <f>-G27</f>
        <v>175000</v>
      </c>
      <c r="H29" s="13"/>
      <c r="I29" s="11"/>
      <c r="J29" s="4"/>
      <c r="K29" s="13" t="s">
        <v>18</v>
      </c>
      <c r="L29" s="11">
        <f>-L27</f>
        <v>175000</v>
      </c>
      <c r="M29" s="13"/>
      <c r="N29" s="11"/>
      <c r="P29" s="26" t="s">
        <v>18</v>
      </c>
      <c r="Q29" s="81">
        <f>170000+ABS(Q22)</f>
        <v>190954</v>
      </c>
      <c r="R29" s="26"/>
      <c r="S29" s="82" t="s">
        <v>74</v>
      </c>
      <c r="U29" s="41" t="s">
        <v>18</v>
      </c>
      <c r="V29" s="84">
        <f>170000+ABS(V22)</f>
        <v>190954</v>
      </c>
      <c r="W29" s="41"/>
      <c r="X29" s="74" t="s">
        <v>74</v>
      </c>
    </row>
    <row r="30" spans="1:24" ht="14.85" customHeight="1" x14ac:dyDescent="0.3">
      <c r="A30" s="13"/>
      <c r="B30" s="11"/>
      <c r="C30" s="13"/>
      <c r="D30" s="90" t="s">
        <v>82</v>
      </c>
      <c r="F30" s="5"/>
      <c r="G30" s="11"/>
      <c r="H30" s="13"/>
      <c r="I30" s="12"/>
      <c r="J30" s="4"/>
      <c r="K30" s="13"/>
      <c r="L30" s="11"/>
      <c r="M30" s="13"/>
      <c r="N30" s="12"/>
      <c r="P30" s="26"/>
      <c r="Q30" s="31"/>
      <c r="R30" s="26"/>
      <c r="S30" s="26"/>
      <c r="U30" s="41"/>
      <c r="V30" s="46"/>
      <c r="W30" s="41"/>
      <c r="X30" s="41"/>
    </row>
    <row r="31" spans="1:24" ht="14.85" customHeight="1" x14ac:dyDescent="0.3">
      <c r="A31" s="11"/>
      <c r="B31" s="11"/>
      <c r="C31" s="13"/>
      <c r="D31" s="12"/>
      <c r="F31" s="5"/>
      <c r="G31" s="11"/>
      <c r="H31" s="13"/>
      <c r="I31" s="12"/>
      <c r="J31" s="4"/>
      <c r="K31" s="13"/>
      <c r="L31" s="11"/>
      <c r="M31" s="13"/>
      <c r="N31" s="12"/>
      <c r="P31" s="26"/>
      <c r="Q31" s="31"/>
      <c r="R31" s="26"/>
      <c r="S31" s="29"/>
      <c r="U31" s="41"/>
      <c r="V31" s="46"/>
      <c r="W31" s="41"/>
      <c r="X31" s="44"/>
    </row>
    <row r="32" spans="1:24" ht="14.85" customHeight="1" x14ac:dyDescent="0.3">
      <c r="A32" s="12" t="s">
        <v>2</v>
      </c>
      <c r="B32" s="11"/>
      <c r="C32" s="13"/>
      <c r="D32" s="12" t="s">
        <v>6</v>
      </c>
      <c r="F32" s="6" t="s">
        <v>2</v>
      </c>
      <c r="G32" s="11"/>
      <c r="H32" s="13"/>
      <c r="I32" s="12" t="s">
        <v>6</v>
      </c>
      <c r="J32" s="4"/>
      <c r="K32" s="12" t="s">
        <v>2</v>
      </c>
      <c r="L32" s="11"/>
      <c r="M32" s="13"/>
      <c r="N32" s="12" t="s">
        <v>6</v>
      </c>
      <c r="P32" s="29" t="s">
        <v>2</v>
      </c>
      <c r="Q32" s="31"/>
      <c r="R32" s="26"/>
      <c r="S32" s="29" t="s">
        <v>6</v>
      </c>
      <c r="U32" s="44" t="s">
        <v>2</v>
      </c>
      <c r="V32" s="46"/>
      <c r="W32" s="41"/>
      <c r="X32" s="44" t="s">
        <v>6</v>
      </c>
    </row>
    <row r="33" spans="1:24" ht="14.85" customHeight="1" x14ac:dyDescent="0.3">
      <c r="A33" s="13" t="s">
        <v>3</v>
      </c>
      <c r="B33" s="11">
        <v>300000</v>
      </c>
      <c r="C33" s="13"/>
      <c r="D33" s="58"/>
      <c r="F33" s="5" t="s">
        <v>3</v>
      </c>
      <c r="G33" s="11">
        <v>300000</v>
      </c>
      <c r="H33" s="13"/>
      <c r="I33" s="13"/>
      <c r="J33" s="4"/>
      <c r="K33" s="13" t="s">
        <v>3</v>
      </c>
      <c r="L33" s="11">
        <v>300000</v>
      </c>
      <c r="M33" s="13"/>
      <c r="N33" s="13"/>
      <c r="P33" s="26" t="s">
        <v>3</v>
      </c>
      <c r="Q33" s="31">
        <v>300000</v>
      </c>
      <c r="R33" s="26"/>
      <c r="S33" s="83"/>
      <c r="U33" s="41" t="s">
        <v>3</v>
      </c>
      <c r="V33" s="46">
        <v>300000</v>
      </c>
      <c r="W33" s="41"/>
      <c r="X33" s="73"/>
    </row>
    <row r="34" spans="1:24" ht="14.85" customHeight="1" x14ac:dyDescent="0.3">
      <c r="A34" s="13" t="s">
        <v>52</v>
      </c>
      <c r="B34" s="11">
        <v>0</v>
      </c>
      <c r="C34" s="13"/>
      <c r="D34" s="58"/>
      <c r="F34" s="5" t="s">
        <v>22</v>
      </c>
      <c r="G34" s="11">
        <v>30000</v>
      </c>
      <c r="H34" s="13"/>
      <c r="I34" s="13" t="s">
        <v>24</v>
      </c>
      <c r="J34" s="4"/>
      <c r="K34" s="13" t="s">
        <v>22</v>
      </c>
      <c r="L34" s="11">
        <v>30000</v>
      </c>
      <c r="M34" s="13"/>
      <c r="N34" s="13" t="s">
        <v>24</v>
      </c>
      <c r="P34" s="26" t="s">
        <v>52</v>
      </c>
      <c r="Q34" s="31">
        <v>0</v>
      </c>
      <c r="R34" s="26"/>
      <c r="S34" s="83"/>
      <c r="U34" s="41" t="s">
        <v>52</v>
      </c>
      <c r="V34" s="46">
        <v>0</v>
      </c>
      <c r="W34" s="41"/>
      <c r="X34" s="73"/>
    </row>
    <row r="35" spans="1:24" ht="14.85" customHeight="1" x14ac:dyDescent="0.3">
      <c r="A35" s="13" t="s">
        <v>53</v>
      </c>
      <c r="B35" s="14">
        <v>0</v>
      </c>
      <c r="C35" s="13"/>
      <c r="D35" s="58"/>
      <c r="F35" s="5" t="s">
        <v>19</v>
      </c>
      <c r="G35" s="11">
        <v>128000</v>
      </c>
      <c r="H35" s="13"/>
      <c r="I35" s="19" t="s">
        <v>32</v>
      </c>
      <c r="J35" s="4"/>
      <c r="K35" s="13" t="s">
        <v>19</v>
      </c>
      <c r="L35" s="11">
        <v>128000</v>
      </c>
      <c r="M35" s="13"/>
      <c r="N35" s="19" t="s">
        <v>32</v>
      </c>
      <c r="P35" s="26" t="s">
        <v>53</v>
      </c>
      <c r="Q35" s="34">
        <v>0</v>
      </c>
      <c r="R35" s="26"/>
      <c r="S35" s="83"/>
      <c r="U35" s="41" t="s">
        <v>53</v>
      </c>
      <c r="V35" s="49">
        <v>0</v>
      </c>
      <c r="W35" s="41"/>
      <c r="X35" s="73"/>
    </row>
    <row r="36" spans="1:24" ht="14.85" customHeight="1" x14ac:dyDescent="0.3">
      <c r="A36" s="13" t="s">
        <v>45</v>
      </c>
      <c r="B36" s="11">
        <f>B33+B34+B35</f>
        <v>300000</v>
      </c>
      <c r="C36" s="13"/>
      <c r="D36" s="58"/>
      <c r="F36" s="5" t="s">
        <v>23</v>
      </c>
      <c r="G36" s="14">
        <v>0</v>
      </c>
      <c r="H36" s="13"/>
      <c r="I36" s="13">
        <f>128000-(1215499-1198770)+2906</f>
        <v>114177</v>
      </c>
      <c r="J36" s="4"/>
      <c r="K36" s="13" t="s">
        <v>23</v>
      </c>
      <c r="L36" s="14">
        <v>0</v>
      </c>
      <c r="M36" s="13"/>
      <c r="N36" s="13">
        <f>128000-(1215499-1198770)+2906</f>
        <v>114177</v>
      </c>
      <c r="P36" s="26" t="s">
        <v>45</v>
      </c>
      <c r="Q36" s="31">
        <f>Q33+Q34+Q35</f>
        <v>300000</v>
      </c>
      <c r="R36" s="26"/>
      <c r="S36" s="83"/>
      <c r="U36" s="41" t="s">
        <v>45</v>
      </c>
      <c r="V36" s="46">
        <f>V33+V34+V35</f>
        <v>300000</v>
      </c>
      <c r="W36" s="41"/>
      <c r="X36" s="73"/>
    </row>
    <row r="37" spans="1:24" ht="14.85" customHeight="1" x14ac:dyDescent="0.3">
      <c r="A37" s="13" t="s">
        <v>44</v>
      </c>
      <c r="B37" s="11">
        <v>-72000</v>
      </c>
      <c r="C37" s="13"/>
      <c r="D37" s="58"/>
      <c r="F37" s="5" t="s">
        <v>7</v>
      </c>
      <c r="G37" s="11">
        <f>G33+G35+G36</f>
        <v>428000</v>
      </c>
      <c r="H37" s="13"/>
      <c r="I37" s="13"/>
      <c r="J37" s="4"/>
      <c r="K37" s="13" t="s">
        <v>7</v>
      </c>
      <c r="L37" s="11">
        <f>L33+L35+L36</f>
        <v>428000</v>
      </c>
      <c r="M37" s="13"/>
      <c r="N37" s="13"/>
      <c r="P37" s="26" t="s">
        <v>44</v>
      </c>
      <c r="Q37" s="31">
        <v>-72000</v>
      </c>
      <c r="R37" s="26"/>
      <c r="S37" s="83"/>
      <c r="U37" s="41" t="s">
        <v>44</v>
      </c>
      <c r="V37" s="46">
        <v>-72000</v>
      </c>
      <c r="W37" s="41"/>
      <c r="X37" s="73"/>
    </row>
    <row r="38" spans="1:24" ht="14.85" customHeight="1" x14ac:dyDescent="0.3">
      <c r="A38" s="21" t="s">
        <v>46</v>
      </c>
      <c r="B38" s="22">
        <f>B36+B37</f>
        <v>228000</v>
      </c>
      <c r="D38" s="58" t="s">
        <v>62</v>
      </c>
      <c r="F38" s="5" t="s">
        <v>8</v>
      </c>
      <c r="G38" s="14">
        <v>228000</v>
      </c>
      <c r="H38" s="13"/>
      <c r="I38" s="13"/>
      <c r="J38" s="4"/>
      <c r="K38" s="13" t="s">
        <v>8</v>
      </c>
      <c r="L38" s="14">
        <v>228000</v>
      </c>
      <c r="M38" s="13"/>
      <c r="N38" s="13"/>
      <c r="P38" s="35" t="s">
        <v>46</v>
      </c>
      <c r="Q38" s="36">
        <f>Q36+Q37</f>
        <v>228000</v>
      </c>
      <c r="S38" s="83" t="s">
        <v>62</v>
      </c>
      <c r="U38" s="50" t="s">
        <v>46</v>
      </c>
      <c r="V38" s="51">
        <f>V36+V37</f>
        <v>228000</v>
      </c>
      <c r="X38" s="73" t="s">
        <v>62</v>
      </c>
    </row>
    <row r="39" spans="1:24" ht="14.85" customHeight="1" x14ac:dyDescent="0.3">
      <c r="A39" s="13" t="s">
        <v>17</v>
      </c>
      <c r="B39" s="11">
        <f>-B37-B40</f>
        <v>0</v>
      </c>
      <c r="D39" s="58" t="s">
        <v>33</v>
      </c>
      <c r="F39" s="5" t="s">
        <v>12</v>
      </c>
      <c r="G39" s="11">
        <f>G38-G37</f>
        <v>-200000</v>
      </c>
      <c r="I39" s="13" t="s">
        <v>13</v>
      </c>
      <c r="J39" s="4"/>
      <c r="K39" s="13" t="s">
        <v>12</v>
      </c>
      <c r="L39" s="11">
        <f>L38-L37</f>
        <v>-200000</v>
      </c>
      <c r="N39" s="13" t="s">
        <v>13</v>
      </c>
      <c r="P39" s="26" t="s">
        <v>17</v>
      </c>
      <c r="Q39" s="31">
        <f>-Q37-Q40</f>
        <v>0</v>
      </c>
      <c r="S39" s="83" t="s">
        <v>33</v>
      </c>
      <c r="U39" s="41" t="s">
        <v>17</v>
      </c>
      <c r="V39" s="47">
        <f>-V37-V40</f>
        <v>0</v>
      </c>
      <c r="X39" s="73" t="s">
        <v>33</v>
      </c>
    </row>
    <row r="40" spans="1:24" ht="14.85" customHeight="1" x14ac:dyDescent="0.3">
      <c r="A40" s="13" t="s">
        <v>18</v>
      </c>
      <c r="B40" s="11">
        <v>72000</v>
      </c>
      <c r="D40" s="58" t="s">
        <v>58</v>
      </c>
      <c r="F40" s="5" t="s">
        <v>17</v>
      </c>
      <c r="G40" s="11">
        <f>+G39*-1</f>
        <v>200000</v>
      </c>
      <c r="I40" s="13" t="s">
        <v>14</v>
      </c>
      <c r="J40" s="4"/>
      <c r="K40" s="13" t="s">
        <v>17</v>
      </c>
      <c r="L40" s="11">
        <f>+L39*-1</f>
        <v>200000</v>
      </c>
      <c r="N40" s="13" t="s">
        <v>14</v>
      </c>
      <c r="P40" s="26" t="s">
        <v>18</v>
      </c>
      <c r="Q40" s="31">
        <v>72000</v>
      </c>
      <c r="S40" s="83" t="s">
        <v>58</v>
      </c>
      <c r="U40" s="41" t="s">
        <v>18</v>
      </c>
      <c r="V40" s="46">
        <v>72000</v>
      </c>
      <c r="X40" s="73" t="s">
        <v>58</v>
      </c>
    </row>
    <row r="41" spans="1:24" ht="14.85" customHeight="1" x14ac:dyDescent="0.3">
      <c r="A41" t="s">
        <v>47</v>
      </c>
      <c r="B41" s="11">
        <f>7500+215</f>
        <v>7715</v>
      </c>
      <c r="C41" s="13"/>
      <c r="D41" s="58" t="s">
        <v>73</v>
      </c>
      <c r="F41" s="5" t="s">
        <v>18</v>
      </c>
      <c r="G41" s="11">
        <f>+G40+G39</f>
        <v>0</v>
      </c>
      <c r="J41" s="4"/>
      <c r="K41" s="13" t="s">
        <v>18</v>
      </c>
      <c r="L41" s="11">
        <f>+L40+L39</f>
        <v>0</v>
      </c>
      <c r="P41" s="32" t="s">
        <v>47</v>
      </c>
      <c r="Q41" s="31">
        <f>7500+215</f>
        <v>7715</v>
      </c>
      <c r="R41" s="26"/>
      <c r="S41" s="83" t="s">
        <v>73</v>
      </c>
      <c r="U41" s="47" t="s">
        <v>47</v>
      </c>
      <c r="V41" s="46">
        <f>7500+215</f>
        <v>7715</v>
      </c>
      <c r="W41" s="41"/>
      <c r="X41" s="73" t="s">
        <v>73</v>
      </c>
    </row>
    <row r="42" spans="1:24" ht="27.6" x14ac:dyDescent="0.3">
      <c r="A42" s="13" t="s">
        <v>54</v>
      </c>
      <c r="B42" s="11">
        <f>30000-B41</f>
        <v>22285</v>
      </c>
      <c r="D42" s="86" t="s">
        <v>75</v>
      </c>
      <c r="F42" s="5"/>
      <c r="G42" s="11"/>
      <c r="J42" s="4"/>
      <c r="K42" s="13"/>
      <c r="L42" s="11"/>
      <c r="P42" s="26" t="s">
        <v>54</v>
      </c>
      <c r="Q42" s="31">
        <f>30000-Q41</f>
        <v>22285</v>
      </c>
      <c r="S42" s="83" t="s">
        <v>75</v>
      </c>
      <c r="U42" s="41" t="s">
        <v>54</v>
      </c>
      <c r="V42" s="46">
        <f>30000-V41</f>
        <v>22285</v>
      </c>
      <c r="X42" s="73" t="s">
        <v>75</v>
      </c>
    </row>
    <row r="43" spans="1:24" ht="14.85" customHeight="1" x14ac:dyDescent="0.3">
      <c r="A43" s="13"/>
      <c r="B43" s="11"/>
      <c r="D43" s="13"/>
      <c r="F43" s="5" t="s">
        <v>20</v>
      </c>
      <c r="G43" s="11">
        <f>SUM(G13,G26,G38)</f>
        <v>7455457</v>
      </c>
      <c r="J43" s="4"/>
      <c r="K43" s="13" t="s">
        <v>20</v>
      </c>
      <c r="L43" s="11">
        <f>SUM(L13,L26,L38)</f>
        <v>7455457</v>
      </c>
      <c r="P43" s="26"/>
      <c r="Q43" s="31"/>
      <c r="S43" s="26"/>
      <c r="U43" s="41"/>
      <c r="V43" s="46"/>
      <c r="X43" s="41"/>
    </row>
    <row r="44" spans="1:24" ht="14.85" customHeight="1" x14ac:dyDescent="0.3">
      <c r="A44" s="21" t="s">
        <v>49</v>
      </c>
      <c r="B44" s="23">
        <f>SUM(B12,B27,B38)</f>
        <v>7246749</v>
      </c>
      <c r="P44" s="35" t="s">
        <v>49</v>
      </c>
      <c r="Q44" s="38">
        <f>SUM(Q12,Q27,Q38)</f>
        <v>7212046</v>
      </c>
      <c r="U44" s="50" t="s">
        <v>49</v>
      </c>
      <c r="V44" s="53">
        <f>SUM(V12,V27,V38)</f>
        <v>7212046</v>
      </c>
    </row>
    <row r="47" spans="1:24" x14ac:dyDescent="0.3">
      <c r="B47" s="1"/>
      <c r="D47" s="1"/>
      <c r="S47" s="39"/>
      <c r="X47" s="54"/>
    </row>
    <row r="48" spans="1:24" x14ac:dyDescent="0.3">
      <c r="B48" s="85"/>
      <c r="D48" s="16"/>
      <c r="S48" s="33"/>
      <c r="X48" s="48"/>
    </row>
  </sheetData>
  <pageMargins left="0.7" right="0.7" top="0.75" bottom="0.75" header="0.3" footer="0.3"/>
  <pageSetup scale="16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  <pageSetUpPr fitToPage="1"/>
  </sheetPr>
  <dimension ref="A1:N58"/>
  <sheetViews>
    <sheetView workbookViewId="0"/>
  </sheetViews>
  <sheetFormatPr defaultColWidth="8.5546875" defaultRowHeight="14.4" x14ac:dyDescent="0.3"/>
  <cols>
    <col min="1" max="1" width="50.44140625" bestFit="1" customWidth="1"/>
    <col min="2" max="2" width="11.44140625" bestFit="1" customWidth="1"/>
    <col min="3" max="3" width="4.5546875" customWidth="1"/>
    <col min="4" max="4" width="57.44140625" bestFit="1" customWidth="1"/>
    <col min="5" max="5" width="9.44140625" customWidth="1"/>
    <col min="6" max="6" width="50.44140625" style="32" customWidth="1"/>
    <col min="7" max="7" width="11.5546875" style="32" bestFit="1" customWidth="1"/>
    <col min="8" max="8" width="4.5546875" style="32" customWidth="1"/>
    <col min="9" max="9" width="90.5546875" style="32" customWidth="1"/>
    <col min="10" max="10" width="8.5546875" customWidth="1"/>
    <col min="11" max="11" width="50.44140625" style="47" bestFit="1" customWidth="1"/>
    <col min="12" max="12" width="11.44140625" style="47" bestFit="1" customWidth="1"/>
    <col min="13" max="13" width="4.5546875" style="47" customWidth="1"/>
    <col min="14" max="14" width="68.5546875" style="47" bestFit="1" customWidth="1"/>
  </cols>
  <sheetData>
    <row r="1" spans="1:14" ht="15.6" x14ac:dyDescent="0.3">
      <c r="A1" s="2" t="s">
        <v>59</v>
      </c>
      <c r="B1" s="13"/>
      <c r="C1" s="13"/>
      <c r="D1" s="13"/>
      <c r="E1" s="13"/>
      <c r="F1" s="25" t="s">
        <v>59</v>
      </c>
      <c r="G1" s="26"/>
      <c r="H1" s="26"/>
      <c r="I1" s="26"/>
      <c r="K1" s="40" t="s">
        <v>59</v>
      </c>
      <c r="L1" s="41"/>
      <c r="M1" s="41"/>
      <c r="N1" s="41"/>
    </row>
    <row r="2" spans="1:14" ht="15.6" x14ac:dyDescent="0.3">
      <c r="A2" s="57" t="s">
        <v>50</v>
      </c>
      <c r="B2" s="13"/>
      <c r="C2" s="13"/>
      <c r="D2" s="91"/>
      <c r="E2" s="13"/>
      <c r="F2" s="55" t="s">
        <v>55</v>
      </c>
      <c r="G2" s="26"/>
      <c r="H2" s="26"/>
      <c r="I2" s="26"/>
      <c r="K2" s="56" t="s">
        <v>57</v>
      </c>
      <c r="L2" s="41"/>
      <c r="M2" s="41"/>
      <c r="N2" s="41"/>
    </row>
    <row r="3" spans="1:14" x14ac:dyDescent="0.3">
      <c r="A3" s="24" t="s">
        <v>88</v>
      </c>
      <c r="B3" s="13"/>
      <c r="C3" s="13"/>
      <c r="D3" s="13"/>
      <c r="E3" s="13"/>
      <c r="F3" s="27" t="s">
        <v>88</v>
      </c>
      <c r="G3" s="26"/>
      <c r="H3" s="26"/>
      <c r="I3" s="26"/>
      <c r="K3" s="42" t="s">
        <v>88</v>
      </c>
      <c r="L3" s="41"/>
      <c r="M3" s="41"/>
      <c r="N3" s="41"/>
    </row>
    <row r="4" spans="1:14" x14ac:dyDescent="0.3">
      <c r="A4" s="13"/>
      <c r="B4" s="13"/>
      <c r="C4" s="13"/>
      <c r="D4" s="20"/>
      <c r="F4" s="26"/>
      <c r="G4" s="26"/>
      <c r="H4" s="26"/>
      <c r="I4" s="28"/>
      <c r="K4" s="41"/>
      <c r="L4" s="41"/>
      <c r="M4" s="41"/>
      <c r="N4" s="43"/>
    </row>
    <row r="5" spans="1:14" ht="14.85" customHeight="1" x14ac:dyDescent="0.3">
      <c r="A5" s="12" t="s">
        <v>0</v>
      </c>
      <c r="B5" s="15" t="s">
        <v>5</v>
      </c>
      <c r="C5" s="13"/>
      <c r="D5" s="12" t="s">
        <v>6</v>
      </c>
      <c r="F5" s="29" t="s">
        <v>0</v>
      </c>
      <c r="G5" s="30" t="s">
        <v>5</v>
      </c>
      <c r="H5" s="26"/>
      <c r="I5" s="29" t="s">
        <v>6</v>
      </c>
      <c r="K5" s="44" t="s">
        <v>0</v>
      </c>
      <c r="L5" s="45" t="s">
        <v>5</v>
      </c>
      <c r="M5" s="41"/>
      <c r="N5" s="44" t="s">
        <v>6</v>
      </c>
    </row>
    <row r="6" spans="1:14" ht="14.85" customHeight="1" x14ac:dyDescent="0.3">
      <c r="A6" s="13" t="s">
        <v>3</v>
      </c>
      <c r="B6" s="11">
        <v>4400000</v>
      </c>
      <c r="C6" s="13"/>
      <c r="D6" s="67"/>
      <c r="F6" s="26" t="s">
        <v>3</v>
      </c>
      <c r="G6" s="31">
        <v>4400000</v>
      </c>
      <c r="H6" s="26"/>
      <c r="I6" s="60"/>
      <c r="K6" s="41" t="s">
        <v>3</v>
      </c>
      <c r="L6" s="46">
        <v>4400000</v>
      </c>
      <c r="M6" s="41"/>
      <c r="N6" s="76"/>
    </row>
    <row r="7" spans="1:14" ht="14.85" customHeight="1" x14ac:dyDescent="0.3">
      <c r="A7" s="13" t="s">
        <v>34</v>
      </c>
      <c r="B7" s="11">
        <f>B38</f>
        <v>0</v>
      </c>
      <c r="C7" s="13"/>
      <c r="D7" s="68"/>
      <c r="F7" s="26" t="s">
        <v>34</v>
      </c>
      <c r="G7" s="31">
        <f>G38</f>
        <v>0</v>
      </c>
      <c r="H7" s="26"/>
      <c r="I7" s="61"/>
      <c r="K7" s="41" t="s">
        <v>34</v>
      </c>
      <c r="L7" s="46">
        <f>L38</f>
        <v>0</v>
      </c>
      <c r="M7" s="41"/>
      <c r="N7" s="77"/>
    </row>
    <row r="8" spans="1:14" ht="14.85" customHeight="1" x14ac:dyDescent="0.3">
      <c r="A8" s="13" t="s">
        <v>36</v>
      </c>
      <c r="B8" s="11">
        <v>-350000</v>
      </c>
      <c r="C8" s="13"/>
      <c r="D8" s="69" t="s">
        <v>97</v>
      </c>
      <c r="F8" s="26" t="s">
        <v>36</v>
      </c>
      <c r="G8" s="94">
        <v>-350000</v>
      </c>
      <c r="H8" s="26"/>
      <c r="I8" s="62" t="s">
        <v>95</v>
      </c>
      <c r="K8" s="41" t="s">
        <v>36</v>
      </c>
      <c r="L8" s="46">
        <v>-350000</v>
      </c>
      <c r="M8" s="41"/>
      <c r="N8" s="74" t="s">
        <v>95</v>
      </c>
    </row>
    <row r="9" spans="1:14" ht="14.85" customHeight="1" x14ac:dyDescent="0.3">
      <c r="A9" s="13" t="s">
        <v>37</v>
      </c>
      <c r="B9" s="11">
        <v>-21500</v>
      </c>
      <c r="C9" s="13"/>
      <c r="D9" s="66" t="s">
        <v>87</v>
      </c>
      <c r="E9" s="1"/>
      <c r="F9" s="26" t="s">
        <v>37</v>
      </c>
      <c r="G9" s="31">
        <v>-20000</v>
      </c>
      <c r="H9" s="26"/>
      <c r="I9" s="59" t="s">
        <v>87</v>
      </c>
      <c r="K9" s="41" t="s">
        <v>37</v>
      </c>
      <c r="L9" s="46">
        <v>-20000</v>
      </c>
      <c r="M9" s="41"/>
      <c r="N9" s="72" t="s">
        <v>87</v>
      </c>
    </row>
    <row r="10" spans="1:14" ht="14.85" customHeight="1" x14ac:dyDescent="0.3">
      <c r="A10" s="13" t="s">
        <v>38</v>
      </c>
      <c r="B10" s="11">
        <v>0</v>
      </c>
      <c r="C10" s="13"/>
      <c r="D10" s="66"/>
      <c r="F10" s="26" t="s">
        <v>38</v>
      </c>
      <c r="G10" s="31">
        <v>0</v>
      </c>
      <c r="H10" s="26"/>
      <c r="I10" s="59"/>
      <c r="K10" s="41" t="s">
        <v>38</v>
      </c>
      <c r="L10" s="46">
        <v>0</v>
      </c>
      <c r="M10" s="41"/>
      <c r="N10" s="72"/>
    </row>
    <row r="11" spans="1:14" ht="14.85" customHeight="1" x14ac:dyDescent="0.3">
      <c r="A11" s="13" t="s">
        <v>90</v>
      </c>
      <c r="B11" s="14">
        <v>-900</v>
      </c>
      <c r="C11" s="13"/>
      <c r="D11" s="66"/>
      <c r="F11" s="26" t="s">
        <v>90</v>
      </c>
      <c r="G11" s="34">
        <v>-900</v>
      </c>
      <c r="H11" s="26"/>
      <c r="I11" s="59"/>
      <c r="K11" s="41" t="s">
        <v>90</v>
      </c>
      <c r="L11" s="49">
        <v>-900</v>
      </c>
      <c r="M11" s="41"/>
      <c r="N11" s="72"/>
    </row>
    <row r="12" spans="1:14" ht="14.85" customHeight="1" x14ac:dyDescent="0.3">
      <c r="A12" s="13" t="s">
        <v>41</v>
      </c>
      <c r="B12" s="11">
        <f>SUM(B6:B11)</f>
        <v>4027600</v>
      </c>
      <c r="C12" s="13"/>
      <c r="D12" s="69"/>
      <c r="F12" s="26" t="s">
        <v>41</v>
      </c>
      <c r="G12" s="31">
        <f>SUM(G6:G11)</f>
        <v>4029100</v>
      </c>
      <c r="H12" s="26"/>
      <c r="I12" s="62"/>
      <c r="K12" s="41" t="s">
        <v>41</v>
      </c>
      <c r="L12" s="46">
        <f>SUM(L6:L11)</f>
        <v>4029100</v>
      </c>
      <c r="M12" s="41"/>
      <c r="N12" s="74"/>
    </row>
    <row r="13" spans="1:14" ht="14.85" customHeight="1" x14ac:dyDescent="0.3">
      <c r="A13" s="21" t="s">
        <v>40</v>
      </c>
      <c r="B13" s="22">
        <f>B12+B14+B15</f>
        <v>4027600</v>
      </c>
      <c r="C13" s="13"/>
      <c r="D13" s="93"/>
      <c r="F13" s="35" t="s">
        <v>40</v>
      </c>
      <c r="G13" s="36">
        <f>G12+G14+G15</f>
        <v>4029100</v>
      </c>
      <c r="H13" s="26"/>
      <c r="I13" s="63"/>
      <c r="K13" s="50" t="s">
        <v>40</v>
      </c>
      <c r="L13" s="51">
        <f>L12+L14+L15</f>
        <v>4029100</v>
      </c>
      <c r="M13" s="41"/>
      <c r="N13" s="78"/>
    </row>
    <row r="14" spans="1:14" ht="14.85" customHeight="1" x14ac:dyDescent="0.3">
      <c r="A14" s="13" t="s">
        <v>17</v>
      </c>
      <c r="B14" s="11">
        <v>0</v>
      </c>
      <c r="C14" s="13"/>
      <c r="D14" s="70"/>
      <c r="F14" s="26" t="s">
        <v>17</v>
      </c>
      <c r="G14" s="31">
        <v>0</v>
      </c>
      <c r="H14" s="26"/>
      <c r="I14" s="64"/>
      <c r="K14" s="41" t="s">
        <v>17</v>
      </c>
      <c r="L14" s="46">
        <v>0</v>
      </c>
      <c r="M14" s="41"/>
      <c r="N14" s="79"/>
    </row>
    <row r="15" spans="1:14" ht="14.85" customHeight="1" x14ac:dyDescent="0.3">
      <c r="A15" s="13" t="s">
        <v>18</v>
      </c>
      <c r="B15" s="11">
        <v>0</v>
      </c>
      <c r="C15" s="13"/>
      <c r="D15" s="92"/>
      <c r="F15" s="26" t="s">
        <v>18</v>
      </c>
      <c r="G15" s="31">
        <v>0</v>
      </c>
      <c r="H15" s="26"/>
      <c r="I15" s="64"/>
      <c r="K15" s="41" t="s">
        <v>18</v>
      </c>
      <c r="L15" s="46">
        <v>0</v>
      </c>
      <c r="M15" s="41"/>
      <c r="N15" s="79"/>
    </row>
    <row r="16" spans="1:14" ht="14.85" customHeight="1" x14ac:dyDescent="0.3">
      <c r="A16" s="13"/>
      <c r="B16" s="11"/>
      <c r="C16" s="13"/>
      <c r="D16" s="10"/>
      <c r="F16" s="26"/>
      <c r="G16" s="31"/>
      <c r="H16" s="26"/>
      <c r="I16" s="37"/>
      <c r="K16" s="41"/>
      <c r="L16" s="46"/>
      <c r="M16" s="41"/>
      <c r="N16" s="52"/>
    </row>
    <row r="17" spans="1:14" ht="14.85" customHeight="1" x14ac:dyDescent="0.3">
      <c r="A17" s="12" t="s">
        <v>1</v>
      </c>
      <c r="B17" s="15" t="s">
        <v>5</v>
      </c>
      <c r="C17" s="13"/>
      <c r="D17" s="12" t="s">
        <v>6</v>
      </c>
      <c r="F17" s="29" t="s">
        <v>1</v>
      </c>
      <c r="G17" s="30" t="s">
        <v>5</v>
      </c>
      <c r="H17" s="26"/>
      <c r="I17" s="29" t="s">
        <v>6</v>
      </c>
      <c r="K17" s="44" t="s">
        <v>1</v>
      </c>
      <c r="L17" s="45" t="s">
        <v>5</v>
      </c>
      <c r="M17" s="41"/>
      <c r="N17" s="44" t="s">
        <v>6</v>
      </c>
    </row>
    <row r="18" spans="1:14" ht="14.85" customHeight="1" x14ac:dyDescent="0.3">
      <c r="A18" s="13" t="s">
        <v>3</v>
      </c>
      <c r="B18" s="11">
        <v>2800000</v>
      </c>
      <c r="C18" s="13"/>
      <c r="D18" s="66"/>
      <c r="F18" s="26" t="s">
        <v>3</v>
      </c>
      <c r="G18" s="31">
        <v>2800000</v>
      </c>
      <c r="H18" s="26" t="s">
        <v>84</v>
      </c>
      <c r="I18" s="59"/>
      <c r="K18" s="41" t="s">
        <v>3</v>
      </c>
      <c r="L18" s="46">
        <v>2800000</v>
      </c>
      <c r="M18" s="41" t="s">
        <v>84</v>
      </c>
      <c r="N18" s="72"/>
    </row>
    <row r="19" spans="1:14" ht="14.85" customHeight="1" x14ac:dyDescent="0.3">
      <c r="A19" s="13" t="s">
        <v>67</v>
      </c>
      <c r="B19" s="11">
        <v>0</v>
      </c>
      <c r="C19" s="13"/>
      <c r="D19" s="66"/>
      <c r="F19" s="26" t="s">
        <v>67</v>
      </c>
      <c r="G19" s="31">
        <v>0</v>
      </c>
      <c r="H19" s="26"/>
      <c r="I19" s="59"/>
      <c r="K19" s="41" t="s">
        <v>67</v>
      </c>
      <c r="L19" s="46">
        <v>0</v>
      </c>
      <c r="M19" s="41"/>
      <c r="N19" s="72"/>
    </row>
    <row r="20" spans="1:14" ht="14.85" customHeight="1" x14ac:dyDescent="0.3">
      <c r="A20" s="13" t="s">
        <v>35</v>
      </c>
      <c r="B20" s="11">
        <v>0</v>
      </c>
      <c r="C20" s="13"/>
      <c r="D20" s="66"/>
      <c r="F20" s="26" t="s">
        <v>35</v>
      </c>
      <c r="G20" s="31">
        <v>0</v>
      </c>
      <c r="H20" s="26"/>
      <c r="I20" s="59"/>
      <c r="K20" s="41" t="s">
        <v>35</v>
      </c>
      <c r="L20" s="46">
        <v>0</v>
      </c>
      <c r="M20" s="41"/>
      <c r="N20" s="72"/>
    </row>
    <row r="21" spans="1:14" ht="14.85" customHeight="1" x14ac:dyDescent="0.3">
      <c r="A21" s="13" t="s">
        <v>39</v>
      </c>
      <c r="B21" s="11">
        <v>0</v>
      </c>
      <c r="C21" s="13"/>
      <c r="D21" s="66" t="s">
        <v>98</v>
      </c>
      <c r="F21" s="26" t="s">
        <v>39</v>
      </c>
      <c r="G21" s="31">
        <v>0</v>
      </c>
      <c r="H21" s="26"/>
      <c r="I21" s="59" t="s">
        <v>94</v>
      </c>
      <c r="K21" s="41" t="s">
        <v>39</v>
      </c>
      <c r="L21" s="46">
        <v>0</v>
      </c>
      <c r="M21" s="41"/>
      <c r="N21" s="72" t="s">
        <v>94</v>
      </c>
    </row>
    <row r="22" spans="1:14" ht="14.85" customHeight="1" x14ac:dyDescent="0.3">
      <c r="A22" s="13" t="s">
        <v>38</v>
      </c>
      <c r="B22" s="11">
        <v>0</v>
      </c>
      <c r="C22" s="13"/>
      <c r="D22" s="66"/>
      <c r="F22" s="26" t="s">
        <v>38</v>
      </c>
      <c r="G22" s="31">
        <v>0</v>
      </c>
      <c r="H22" s="26"/>
      <c r="I22" s="59"/>
      <c r="K22" s="41" t="s">
        <v>38</v>
      </c>
      <c r="L22" s="46">
        <v>0</v>
      </c>
      <c r="M22" s="41"/>
      <c r="N22" s="72"/>
    </row>
    <row r="23" spans="1:14" ht="14.85" customHeight="1" x14ac:dyDescent="0.3">
      <c r="A23" s="13" t="s">
        <v>92</v>
      </c>
      <c r="B23" s="11">
        <v>-19202</v>
      </c>
      <c r="C23" s="13"/>
      <c r="D23" s="66" t="s">
        <v>89</v>
      </c>
      <c r="F23" s="26" t="s">
        <v>92</v>
      </c>
      <c r="G23" s="31">
        <v>-19202</v>
      </c>
      <c r="H23" s="26"/>
      <c r="I23" s="59" t="s">
        <v>89</v>
      </c>
      <c r="K23" s="41" t="s">
        <v>92</v>
      </c>
      <c r="L23" s="46">
        <v>-19202</v>
      </c>
      <c r="M23" s="41"/>
      <c r="N23" s="72" t="s">
        <v>89</v>
      </c>
    </row>
    <row r="24" spans="1:14" ht="14.85" customHeight="1" x14ac:dyDescent="0.3">
      <c r="A24" s="13" t="s">
        <v>85</v>
      </c>
      <c r="B24" s="11">
        <v>-80000</v>
      </c>
      <c r="C24" s="13"/>
      <c r="D24" s="66"/>
      <c r="F24" s="26" t="s">
        <v>85</v>
      </c>
      <c r="G24" s="31">
        <v>-80000</v>
      </c>
      <c r="H24" s="26"/>
      <c r="I24" s="59"/>
      <c r="K24" s="41" t="s">
        <v>85</v>
      </c>
      <c r="L24" s="46">
        <v>-80000</v>
      </c>
      <c r="M24" s="41"/>
      <c r="N24" s="72"/>
    </row>
    <row r="25" spans="1:14" ht="14.85" customHeight="1" x14ac:dyDescent="0.3">
      <c r="A25" s="13" t="s">
        <v>42</v>
      </c>
      <c r="B25" s="14">
        <f>SUM(B18:B24)</f>
        <v>2700798</v>
      </c>
      <c r="C25" s="13"/>
      <c r="D25" s="66"/>
      <c r="F25" s="26" t="s">
        <v>42</v>
      </c>
      <c r="G25" s="34">
        <f>SUM(G18:G24)</f>
        <v>2700798</v>
      </c>
      <c r="H25" s="26"/>
      <c r="I25" s="59"/>
      <c r="K25" s="41" t="s">
        <v>42</v>
      </c>
      <c r="L25" s="49">
        <f>SUM(L18:L24)</f>
        <v>2700798</v>
      </c>
      <c r="M25" s="41"/>
      <c r="N25" s="72"/>
    </row>
    <row r="26" spans="1:14" ht="14.85" customHeight="1" x14ac:dyDescent="0.3">
      <c r="A26" s="13" t="s">
        <v>86</v>
      </c>
      <c r="B26" s="11">
        <v>-185000</v>
      </c>
      <c r="C26" s="13"/>
      <c r="D26" s="11"/>
      <c r="F26" s="26" t="s">
        <v>86</v>
      </c>
      <c r="G26" s="31">
        <v>-185000</v>
      </c>
      <c r="H26" s="26"/>
      <c r="I26" s="31"/>
      <c r="K26" s="41" t="s">
        <v>86</v>
      </c>
      <c r="L26" s="46">
        <v>-185000</v>
      </c>
      <c r="M26" s="41"/>
      <c r="N26" s="46"/>
    </row>
    <row r="27" spans="1:14" ht="14.85" customHeight="1" x14ac:dyDescent="0.3">
      <c r="A27" s="21" t="s">
        <v>43</v>
      </c>
      <c r="B27" s="22">
        <f>SUM(B25:B26)</f>
        <v>2515798</v>
      </c>
      <c r="C27" s="13"/>
      <c r="D27" s="71"/>
      <c r="F27" s="35" t="s">
        <v>43</v>
      </c>
      <c r="G27" s="36">
        <f>SUM(G25:G26)</f>
        <v>2515798</v>
      </c>
      <c r="H27" s="26"/>
      <c r="I27" s="65"/>
      <c r="K27" s="50" t="s">
        <v>43</v>
      </c>
      <c r="L27" s="51">
        <f>SUM(L25:L26)</f>
        <v>2515798</v>
      </c>
      <c r="M27" s="41"/>
      <c r="N27" s="75"/>
    </row>
    <row r="28" spans="1:14" ht="14.85" customHeight="1" x14ac:dyDescent="0.3">
      <c r="A28" s="13" t="s">
        <v>17</v>
      </c>
      <c r="B28" s="11">
        <v>0</v>
      </c>
      <c r="C28" s="13"/>
      <c r="D28" s="66"/>
      <c r="F28" s="26" t="s">
        <v>17</v>
      </c>
      <c r="G28" s="31">
        <v>0</v>
      </c>
      <c r="H28" s="26"/>
      <c r="I28" s="59"/>
      <c r="K28" s="41" t="s">
        <v>17</v>
      </c>
      <c r="L28" s="46">
        <v>0</v>
      </c>
      <c r="M28" s="41"/>
      <c r="N28" s="72"/>
    </row>
    <row r="29" spans="1:14" ht="14.85" customHeight="1" x14ac:dyDescent="0.3">
      <c r="A29" s="13" t="s">
        <v>18</v>
      </c>
      <c r="B29" s="11">
        <v>0</v>
      </c>
      <c r="C29" s="13"/>
      <c r="D29" s="66"/>
      <c r="F29" s="26" t="s">
        <v>18</v>
      </c>
      <c r="G29" s="31">
        <v>0</v>
      </c>
      <c r="H29" s="26"/>
      <c r="I29" s="59"/>
      <c r="K29" s="41" t="s">
        <v>18</v>
      </c>
      <c r="L29" s="46">
        <v>0</v>
      </c>
      <c r="M29" s="41"/>
      <c r="N29" s="72"/>
    </row>
    <row r="30" spans="1:14" ht="14.85" customHeight="1" x14ac:dyDescent="0.3">
      <c r="A30" s="13"/>
      <c r="B30" s="11"/>
      <c r="C30" s="13"/>
      <c r="D30" s="12"/>
      <c r="F30" s="26"/>
      <c r="G30" s="31"/>
      <c r="H30" s="26"/>
      <c r="I30" s="29"/>
      <c r="K30" s="41"/>
      <c r="L30" s="46"/>
      <c r="M30" s="41"/>
      <c r="N30" s="44"/>
    </row>
    <row r="31" spans="1:14" ht="14.85" customHeight="1" x14ac:dyDescent="0.3">
      <c r="A31" s="12" t="s">
        <v>2</v>
      </c>
      <c r="B31" s="11"/>
      <c r="C31" s="13"/>
      <c r="D31" s="12" t="s">
        <v>6</v>
      </c>
      <c r="F31" s="29" t="s">
        <v>2</v>
      </c>
      <c r="G31" s="31"/>
      <c r="H31" s="26"/>
      <c r="I31" s="29" t="s">
        <v>6</v>
      </c>
      <c r="K31" s="44" t="s">
        <v>2</v>
      </c>
      <c r="L31" s="46"/>
      <c r="M31" s="41"/>
      <c r="N31" s="44" t="s">
        <v>6</v>
      </c>
    </row>
    <row r="32" spans="1:14" ht="14.85" customHeight="1" x14ac:dyDescent="0.3">
      <c r="A32" s="13" t="s">
        <v>3</v>
      </c>
      <c r="B32" s="11">
        <v>300000</v>
      </c>
      <c r="C32" s="13"/>
      <c r="D32" s="66"/>
      <c r="F32" s="26" t="s">
        <v>3</v>
      </c>
      <c r="G32" s="31">
        <v>300000</v>
      </c>
      <c r="H32" s="26"/>
      <c r="I32" s="59"/>
      <c r="K32" s="41" t="s">
        <v>3</v>
      </c>
      <c r="L32" s="46">
        <v>300000</v>
      </c>
      <c r="M32" s="41"/>
      <c r="N32" s="72"/>
    </row>
    <row r="33" spans="1:14" ht="14.85" customHeight="1" x14ac:dyDescent="0.3">
      <c r="A33" s="13" t="s">
        <v>52</v>
      </c>
      <c r="B33" s="11">
        <v>0</v>
      </c>
      <c r="C33" s="13"/>
      <c r="D33" s="66"/>
      <c r="F33" s="26" t="s">
        <v>52</v>
      </c>
      <c r="G33" s="31">
        <v>0</v>
      </c>
      <c r="H33" s="26"/>
      <c r="I33" s="59"/>
      <c r="K33" s="41" t="s">
        <v>52</v>
      </c>
      <c r="L33" s="46">
        <v>0</v>
      </c>
      <c r="M33" s="41"/>
      <c r="N33" s="72"/>
    </row>
    <row r="34" spans="1:14" ht="14.85" customHeight="1" x14ac:dyDescent="0.3">
      <c r="A34" s="13" t="s">
        <v>53</v>
      </c>
      <c r="B34" s="14">
        <v>0</v>
      </c>
      <c r="C34" s="13"/>
      <c r="D34" s="69"/>
      <c r="F34" s="26" t="s">
        <v>53</v>
      </c>
      <c r="G34" s="34">
        <v>0</v>
      </c>
      <c r="H34" s="26"/>
      <c r="I34" s="62"/>
      <c r="K34" s="41" t="s">
        <v>53</v>
      </c>
      <c r="L34" s="49">
        <v>0</v>
      </c>
      <c r="M34" s="41"/>
      <c r="N34" s="74"/>
    </row>
    <row r="35" spans="1:14" ht="14.85" customHeight="1" x14ac:dyDescent="0.3">
      <c r="A35" s="13" t="s">
        <v>45</v>
      </c>
      <c r="B35" s="11">
        <f>B32+B33+B34</f>
        <v>300000</v>
      </c>
      <c r="C35" s="13"/>
      <c r="D35" s="69"/>
      <c r="F35" s="26" t="s">
        <v>45</v>
      </c>
      <c r="G35" s="31">
        <f>G32+G33+G34</f>
        <v>300000</v>
      </c>
      <c r="H35" s="26"/>
      <c r="I35" s="62"/>
      <c r="K35" s="41" t="s">
        <v>45</v>
      </c>
      <c r="L35" s="46">
        <f>L32+L33+L34</f>
        <v>300000</v>
      </c>
      <c r="M35" s="41"/>
      <c r="N35" s="74"/>
    </row>
    <row r="36" spans="1:14" ht="14.85" customHeight="1" x14ac:dyDescent="0.3">
      <c r="A36" s="13" t="s">
        <v>44</v>
      </c>
      <c r="B36" s="11">
        <f>-53804</f>
        <v>-53804</v>
      </c>
      <c r="C36" s="13"/>
      <c r="D36" s="69" t="s">
        <v>99</v>
      </c>
      <c r="F36" s="26" t="s">
        <v>44</v>
      </c>
      <c r="G36" s="31">
        <v>-47000</v>
      </c>
      <c r="H36" s="26"/>
      <c r="I36" s="62" t="s">
        <v>62</v>
      </c>
      <c r="K36" s="41" t="s">
        <v>44</v>
      </c>
      <c r="L36" s="46">
        <v>-47000</v>
      </c>
      <c r="M36" s="41"/>
      <c r="N36" s="74" t="s">
        <v>62</v>
      </c>
    </row>
    <row r="37" spans="1:14" ht="14.85" customHeight="1" x14ac:dyDescent="0.3">
      <c r="A37" s="21" t="s">
        <v>46</v>
      </c>
      <c r="B37" s="22">
        <f>B35+B36</f>
        <v>246196</v>
      </c>
      <c r="D37" s="69" t="s">
        <v>100</v>
      </c>
      <c r="F37" s="35" t="s">
        <v>46</v>
      </c>
      <c r="G37" s="36">
        <f>G35+G36</f>
        <v>253000</v>
      </c>
      <c r="I37" s="62" t="s">
        <v>83</v>
      </c>
      <c r="K37" s="50" t="s">
        <v>46</v>
      </c>
      <c r="L37" s="51">
        <f>L35+L36</f>
        <v>253000</v>
      </c>
      <c r="N37" s="74" t="s">
        <v>83</v>
      </c>
    </row>
    <row r="38" spans="1:14" ht="14.85" customHeight="1" x14ac:dyDescent="0.3">
      <c r="A38" s="13" t="s">
        <v>17</v>
      </c>
      <c r="B38" s="11">
        <f>-B36-B39</f>
        <v>0</v>
      </c>
      <c r="D38" s="66"/>
      <c r="F38" s="26" t="s">
        <v>17</v>
      </c>
      <c r="G38" s="31">
        <f>-G36-G39</f>
        <v>0</v>
      </c>
      <c r="I38" s="59"/>
      <c r="K38" s="41" t="s">
        <v>17</v>
      </c>
      <c r="L38" s="46">
        <f>-L36-L39</f>
        <v>0</v>
      </c>
      <c r="N38" s="72"/>
    </row>
    <row r="39" spans="1:14" ht="14.85" customHeight="1" x14ac:dyDescent="0.3">
      <c r="A39" s="13" t="s">
        <v>18</v>
      </c>
      <c r="B39" s="11">
        <f>-B36</f>
        <v>53804</v>
      </c>
      <c r="D39" s="66"/>
      <c r="F39" s="26" t="s">
        <v>18</v>
      </c>
      <c r="G39" s="31">
        <f>-G36</f>
        <v>47000</v>
      </c>
      <c r="I39" s="59"/>
      <c r="K39" s="41" t="s">
        <v>18</v>
      </c>
      <c r="L39" s="46">
        <f>-L36</f>
        <v>47000</v>
      </c>
      <c r="N39" s="72"/>
    </row>
    <row r="40" spans="1:14" ht="14.85" customHeight="1" x14ac:dyDescent="0.3">
      <c r="A40" t="s">
        <v>47</v>
      </c>
      <c r="B40" s="11">
        <v>860</v>
      </c>
      <c r="C40" s="13"/>
      <c r="D40" s="66"/>
      <c r="F40" s="32" t="s">
        <v>47</v>
      </c>
      <c r="G40" s="31">
        <v>860</v>
      </c>
      <c r="H40" s="26"/>
      <c r="I40" s="59"/>
      <c r="K40" s="47" t="s">
        <v>47</v>
      </c>
      <c r="L40" s="46">
        <v>860</v>
      </c>
      <c r="M40" s="41"/>
      <c r="N40" s="72"/>
    </row>
    <row r="41" spans="1:14" ht="14.85" customHeight="1" x14ac:dyDescent="0.3">
      <c r="A41" s="13" t="s">
        <v>54</v>
      </c>
      <c r="B41" s="11">
        <f>30000-B40</f>
        <v>29140</v>
      </c>
      <c r="D41" s="66" t="s">
        <v>91</v>
      </c>
      <c r="F41" s="26" t="s">
        <v>54</v>
      </c>
      <c r="G41" s="31">
        <f>30000-G40</f>
        <v>29140</v>
      </c>
      <c r="I41" s="59" t="s">
        <v>91</v>
      </c>
      <c r="K41" s="41" t="s">
        <v>54</v>
      </c>
      <c r="L41" s="46">
        <f>30000-L40</f>
        <v>29140</v>
      </c>
      <c r="N41" s="72" t="s">
        <v>91</v>
      </c>
    </row>
    <row r="42" spans="1:14" ht="14.85" customHeight="1" x14ac:dyDescent="0.3">
      <c r="A42" s="13"/>
      <c r="B42" s="11"/>
      <c r="D42" s="66"/>
      <c r="F42" s="26"/>
      <c r="G42" s="31"/>
      <c r="I42" s="59"/>
      <c r="K42" s="41"/>
      <c r="L42" s="46"/>
      <c r="N42" s="72"/>
    </row>
    <row r="43" spans="1:14" ht="14.85" customHeight="1" x14ac:dyDescent="0.3">
      <c r="A43" s="21" t="s">
        <v>49</v>
      </c>
      <c r="B43" s="23">
        <f>SUM(B13,B27,B37)</f>
        <v>6789594</v>
      </c>
      <c r="F43" s="35" t="s">
        <v>49</v>
      </c>
      <c r="G43" s="38">
        <f>SUM(G13,G27,G37)</f>
        <v>6797898</v>
      </c>
      <c r="K43" s="50" t="s">
        <v>49</v>
      </c>
      <c r="L43" s="53">
        <f>SUM(L13,L27,L37)</f>
        <v>6797898</v>
      </c>
    </row>
    <row r="44" spans="1:14" ht="14.85" customHeight="1" x14ac:dyDescent="0.3"/>
    <row r="46" spans="1:14" x14ac:dyDescent="0.3">
      <c r="B46" s="1"/>
      <c r="D46" s="1"/>
      <c r="I46" s="39"/>
      <c r="N46" s="54"/>
    </row>
    <row r="47" spans="1:14" x14ac:dyDescent="0.3">
      <c r="D47" s="16"/>
      <c r="I47" s="33"/>
      <c r="K47" s="54"/>
      <c r="N47" s="48"/>
    </row>
    <row r="48" spans="1:14" x14ac:dyDescent="0.3">
      <c r="D48" s="1"/>
    </row>
    <row r="57" spans="1:1" x14ac:dyDescent="0.3">
      <c r="A57">
        <f>276724*1.9835</f>
        <v>548882.054</v>
      </c>
    </row>
    <row r="58" spans="1:1" x14ac:dyDescent="0.3">
      <c r="A58">
        <f>A57-563509</f>
        <v>-14626.945999999996</v>
      </c>
    </row>
  </sheetData>
  <pageMargins left="0.7" right="0.7" top="0.75" bottom="0.75" header="0.3" footer="0.3"/>
  <pageSetup scale="2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2026</vt:lpstr>
      <vt:lpstr>2027</vt:lpstr>
      <vt:lpstr>System Conservation</vt:lpstr>
      <vt:lpstr>SysCon SummaryTable</vt:lpstr>
      <vt:lpstr>DCP Bank</vt:lpstr>
      <vt:lpstr>500+ Plan Tracking</vt:lpstr>
      <vt:lpstr>Reductions for MSCP</vt:lpstr>
      <vt:lpstr>Effective Elevations</vt:lpstr>
      <vt:lpstr>ICS Creation</vt:lpstr>
      <vt:lpstr>OLD 2023</vt:lpstr>
      <vt:lpstr>OLD 2024</vt:lpstr>
      <vt:lpstr>2025</vt:lpstr>
      <vt:lpstr>2019 (Old News)</vt:lpstr>
      <vt:lpstr>2016</vt:lpstr>
      <vt:lpstr>2017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</dc:creator>
  <cp:lastModifiedBy>Orozco-Whitaker, Erin L</cp:lastModifiedBy>
  <cp:lastPrinted>2019-06-12T18:58:16Z</cp:lastPrinted>
  <dcterms:created xsi:type="dcterms:W3CDTF">2010-04-07T14:08:48Z</dcterms:created>
  <dcterms:modified xsi:type="dcterms:W3CDTF">2026-01-13T16:34:43Z</dcterms:modified>
</cp:coreProperties>
</file>